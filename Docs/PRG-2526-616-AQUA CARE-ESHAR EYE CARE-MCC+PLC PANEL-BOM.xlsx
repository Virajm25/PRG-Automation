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75EF2222-C1AD-49AE-9833-5A43358FA0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WER CUM PLC PANEL" sheetId="33" r:id="rId1"/>
  </sheets>
  <definedNames>
    <definedName name="_xlnm._FilterDatabase" localSheetId="0" hidden="1">'POWER CUM PLC PANEL'!$C$1:$C$98</definedName>
    <definedName name="_xlnm.Print_Area" localSheetId="0">'POWER CUM PLC PANEL'!$A$1:$H$97</definedName>
  </definedNames>
  <calcPr calcId="181029"/>
</workbook>
</file>

<file path=xl/calcChain.xml><?xml version="1.0" encoding="utf-8"?>
<calcChain xmlns="http://schemas.openxmlformats.org/spreadsheetml/2006/main">
  <c r="G90" i="33" l="1"/>
  <c r="G62" i="33"/>
  <c r="G63" i="33"/>
  <c r="G68" i="33"/>
  <c r="G65" i="33"/>
  <c r="G64" i="33"/>
  <c r="G59" i="33"/>
  <c r="G32" i="33"/>
  <c r="G31" i="33"/>
  <c r="G30" i="33"/>
  <c r="G29" i="33"/>
  <c r="G28" i="33"/>
  <c r="G27" i="33"/>
  <c r="G26" i="33"/>
  <c r="G25" i="33"/>
  <c r="F5" i="33"/>
  <c r="G5" i="33" s="1"/>
  <c r="G10" i="33"/>
  <c r="G11" i="33"/>
  <c r="F97" i="33"/>
  <c r="G97" i="33" s="1"/>
  <c r="G84" i="33"/>
  <c r="G85" i="33"/>
  <c r="G82" i="33"/>
  <c r="G81" i="33"/>
  <c r="G95" i="33"/>
  <c r="G80" i="33"/>
  <c r="G92" i="33"/>
  <c r="G91" i="33"/>
  <c r="G89" i="33"/>
  <c r="F87" i="33"/>
  <c r="G87" i="33" s="1"/>
  <c r="G86" i="33"/>
  <c r="G75" i="33"/>
  <c r="G77" i="33"/>
  <c r="G76" i="33"/>
  <c r="G74" i="33"/>
  <c r="G73" i="33"/>
  <c r="G72" i="33"/>
  <c r="G71" i="33"/>
  <c r="G61" i="33"/>
  <c r="G56" i="33"/>
  <c r="G55" i="33"/>
  <c r="G54" i="33"/>
  <c r="G53" i="33"/>
  <c r="G52" i="33"/>
  <c r="G51" i="33"/>
  <c r="G50" i="33"/>
  <c r="G49" i="33"/>
  <c r="G48" i="33"/>
  <c r="G47" i="33"/>
  <c r="G46" i="33"/>
  <c r="G45" i="33"/>
  <c r="G44" i="33"/>
  <c r="G43" i="33"/>
  <c r="G42" i="33"/>
  <c r="G41" i="33"/>
  <c r="G70" i="33"/>
  <c r="G69" i="33"/>
  <c r="G67" i="33"/>
  <c r="G66" i="33"/>
  <c r="G60" i="33"/>
  <c r="G58" i="33"/>
  <c r="G57" i="33"/>
  <c r="G40" i="33"/>
  <c r="G39" i="33"/>
  <c r="G38" i="33"/>
  <c r="G37" i="33"/>
  <c r="G36" i="33"/>
  <c r="G35" i="33"/>
  <c r="G34" i="33"/>
  <c r="G33" i="33"/>
  <c r="G14" i="33"/>
  <c r="G15" i="33"/>
  <c r="G13" i="33"/>
  <c r="G12" i="33"/>
  <c r="G96" i="33" l="1"/>
  <c r="G94" i="33"/>
  <c r="G93" i="33"/>
  <c r="G88" i="33"/>
  <c r="G83" i="33"/>
  <c r="G79" i="33"/>
  <c r="F4" i="33"/>
  <c r="G3" i="33"/>
  <c r="G4" i="33" l="1"/>
  <c r="F6" i="33"/>
  <c r="F7" i="33" s="1"/>
  <c r="G6" i="33" l="1"/>
  <c r="F8" i="33"/>
  <c r="G7" i="33"/>
  <c r="F9" i="33" l="1"/>
  <c r="G8" i="33"/>
  <c r="F16" i="33" l="1"/>
  <c r="G9" i="33"/>
  <c r="G16" i="33" l="1"/>
  <c r="F17" i="33"/>
  <c r="F18" i="33" l="1"/>
  <c r="G17" i="33"/>
  <c r="F19" i="33" l="1"/>
  <c r="F22" i="33" s="1"/>
  <c r="G22" i="33" s="1"/>
  <c r="G18" i="33"/>
  <c r="F21" i="33" l="1"/>
  <c r="G21" i="33" s="1"/>
  <c r="F20" i="33"/>
  <c r="G19" i="33"/>
  <c r="G20" i="33" l="1"/>
  <c r="F23" i="33"/>
  <c r="G23" i="33" s="1"/>
</calcChain>
</file>

<file path=xl/sharedStrings.xml><?xml version="1.0" encoding="utf-8"?>
<sst xmlns="http://schemas.openxmlformats.org/spreadsheetml/2006/main" count="362" uniqueCount="114">
  <si>
    <t>MAKE</t>
  </si>
  <si>
    <t>PART NO</t>
  </si>
  <si>
    <t>UOM</t>
  </si>
  <si>
    <t>Nos.</t>
  </si>
  <si>
    <t>Teknic</t>
  </si>
  <si>
    <t>STD.</t>
  </si>
  <si>
    <t>Red Indication Lamp, 230VAC supply voltage</t>
  </si>
  <si>
    <t>Yellow Indication Lamp, 230VAC supply voltage</t>
  </si>
  <si>
    <t>Blue Indication Lamp, 230VAC supply voltage</t>
  </si>
  <si>
    <t>ITEM
 QTY</t>
  </si>
  <si>
    <t>FDR
 QTY</t>
  </si>
  <si>
    <t>TOTAL
 QTY</t>
  </si>
  <si>
    <t>ITEM DESCRIPTIONS</t>
  </si>
  <si>
    <t>SR NO.</t>
  </si>
  <si>
    <t>A</t>
  </si>
  <si>
    <t>Elmex</t>
  </si>
  <si>
    <t>Polycab</t>
  </si>
  <si>
    <t>Aux. relay 2 c/o with base &amp; pin, 230VAC</t>
  </si>
  <si>
    <t>Omron</t>
  </si>
  <si>
    <t>Salzer</t>
  </si>
  <si>
    <t>3PLBR4L</t>
  </si>
  <si>
    <t>3PLBR8L</t>
  </si>
  <si>
    <t>3PLBR6L</t>
  </si>
  <si>
    <t>5SL43067RC</t>
  </si>
  <si>
    <t>Siemens</t>
  </si>
  <si>
    <t>5SL42067RC</t>
  </si>
  <si>
    <t>Power contactor 3P,7Amp with coil voltage 230VAC</t>
  </si>
  <si>
    <t>NO Contact Block</t>
  </si>
  <si>
    <t>S1</t>
  </si>
  <si>
    <t>NC Contact Block</t>
  </si>
  <si>
    <t>S2</t>
  </si>
  <si>
    <t xml:space="preserve"> 3RT2015-1AP018K</t>
  </si>
  <si>
    <t>PLC SECTION</t>
  </si>
  <si>
    <t>LOT</t>
  </si>
  <si>
    <t>CONTROL SECTION</t>
  </si>
  <si>
    <t>OTHER MATERIAL</t>
  </si>
  <si>
    <t xml:space="preserve">Relay Board 8ch 24vdc </t>
  </si>
  <si>
    <t>Hooter 24 VDC</t>
  </si>
  <si>
    <t>Door Limit Switch</t>
  </si>
  <si>
    <t>MCC SECTION</t>
  </si>
  <si>
    <t>-</t>
  </si>
  <si>
    <t>MCB 3P,6A</t>
  </si>
  <si>
    <t>6A, 2P, 10kA, C-Curve MCB</t>
  </si>
  <si>
    <t>Main Switch 3P, 32Amp</t>
  </si>
  <si>
    <t>Fuse Terminals</t>
  </si>
  <si>
    <t>2Amp Fuse</t>
  </si>
  <si>
    <t>Kaycee</t>
  </si>
  <si>
    <t>5W Tubelight 230VAC Power Supply</t>
  </si>
  <si>
    <t>Oreva</t>
  </si>
  <si>
    <t>Elettra</t>
  </si>
  <si>
    <t>Rexnord</t>
  </si>
  <si>
    <t>2.5 Sqm Control Terminals (Red)</t>
  </si>
  <si>
    <t>2.5 Sqm Control Terminals (Black)</t>
  </si>
  <si>
    <t>INCOMER SECTION</t>
  </si>
  <si>
    <t>Aux. relay 4 c/o with base &amp; pin, 230VAC</t>
  </si>
  <si>
    <r>
      <t xml:space="preserve">2.5 Sqm Power Cable (Red/Yellow/Black) </t>
    </r>
    <r>
      <rPr>
        <sz val="11"/>
        <color rgb="FFFF0000"/>
        <rFont val="Calibri"/>
        <family val="2"/>
        <scheme val="minor"/>
      </rPr>
      <t>- (As Per Requires)</t>
    </r>
  </si>
  <si>
    <t>6 Sqm Power Terminals (Red/Yellow/Black)</t>
  </si>
  <si>
    <t>MCB 3P,10A</t>
  </si>
  <si>
    <t>5SL43107RC</t>
  </si>
  <si>
    <t>MCB 2P,6A</t>
  </si>
  <si>
    <t>ILSW (Green) Illuminated Push button 230VAC Control Supply - (2-Position)</t>
  </si>
  <si>
    <t>6 Sqm Power Terminals (Red/Black)</t>
  </si>
  <si>
    <t>4 Sqm Earth Terminals (Gree/Yellow)</t>
  </si>
  <si>
    <t>SMPS 5 Amp 24VDC</t>
  </si>
  <si>
    <t>NHP</t>
  </si>
  <si>
    <t>2.5 Sqm Control Terminals (Blue)</t>
  </si>
  <si>
    <t>2.5 Sqm Control Terminals (Grey)</t>
  </si>
  <si>
    <t>CPU DVP, 8DI/4DO</t>
  </si>
  <si>
    <t>Delta</t>
  </si>
  <si>
    <t>DIGITAL INPUT DVP, 16DI</t>
  </si>
  <si>
    <t>DVP16SM11N</t>
  </si>
  <si>
    <t>DIGITAL INPUT DVP, 16DO</t>
  </si>
  <si>
    <t xml:space="preserve">HMI 4 INCH </t>
  </si>
  <si>
    <t>DOP-103BQ</t>
  </si>
  <si>
    <t>Shavison</t>
  </si>
  <si>
    <t xml:space="preserve">Relay Board 4ch 24vdc </t>
  </si>
  <si>
    <t>Reset (Yellow) Push Button</t>
  </si>
  <si>
    <t>Emergency (Red) Stop Push Button Msh. Head type</t>
  </si>
  <si>
    <t>Energy Meter</t>
  </si>
  <si>
    <t>Selec</t>
  </si>
  <si>
    <t>MFM376-C-CE</t>
  </si>
  <si>
    <t>6A, 3P, 10kA, C-Curve MCB</t>
  </si>
  <si>
    <t xml:space="preserve">Current Transformer 30/5 </t>
  </si>
  <si>
    <t>Selector Switch (2-Position)</t>
  </si>
  <si>
    <t>Fan 4" with grill 230VAC Power Supply</t>
  </si>
  <si>
    <t>Air-Filter 4"</t>
  </si>
  <si>
    <t>OLR 2.8-4A</t>
  </si>
  <si>
    <t>3RU2116-1EB00-8K</t>
  </si>
  <si>
    <t>RAW EFFLUENT TRANSFER PUMP-DOL FEEDER 1.5 KW 1 NOS</t>
  </si>
  <si>
    <t>PRIMARY TREATED TRANSFER PUMP-DOL FEEDER 1.5 KW 1 NOS</t>
  </si>
  <si>
    <t>FILTER FEED PUMP-DOL FEEDER 1.1 KW 2 NOS</t>
  </si>
  <si>
    <t>OLR 2.2-3.2A</t>
  </si>
  <si>
    <t>3RU2116-1DB00-8K</t>
  </si>
  <si>
    <t>OLR 1.1-1.6A</t>
  </si>
  <si>
    <t>3RU2116-1AB00-8K</t>
  </si>
  <si>
    <t>SLUDGE WITHDRAW PUMP-DOL FEEDER 0.37 KW 1 NOS</t>
  </si>
  <si>
    <t>AIR BLOWER-DOL FEEDER 0.75 KW 2 NOS</t>
  </si>
  <si>
    <t>3RU2116-1BB00-8K</t>
  </si>
  <si>
    <t>OLR 1.4-2A</t>
  </si>
  <si>
    <t>VFD5A5ME43ANNAA</t>
  </si>
  <si>
    <t>On (Green) Indication 230VAC Control Supply</t>
  </si>
  <si>
    <t>Trip (Amber) Indication 230VAC Control Supply</t>
  </si>
  <si>
    <t>Aux. relay 2 c/o with base &amp; pin, 24VDC</t>
  </si>
  <si>
    <t>Selector Switch (3-Position)</t>
  </si>
  <si>
    <t>1NO + 1NC Add-On Contact Block</t>
  </si>
  <si>
    <t>3RH2911-1HA11</t>
  </si>
  <si>
    <t>SUPPLY FEEDER</t>
  </si>
  <si>
    <t>DIGITAL INPUT DVP, 8DI</t>
  </si>
  <si>
    <t>DVP08SM11N</t>
  </si>
  <si>
    <t>PRG-2526-616-BOM (AQUACARE-SHAH EYE CARE)</t>
  </si>
  <si>
    <t>PLC HARDWARE-IO COUNT 32DI/20DO</t>
  </si>
  <si>
    <r>
      <t xml:space="preserve">2.2kW VFD </t>
    </r>
    <r>
      <rPr>
        <sz val="11"/>
        <color rgb="FFFF0000"/>
        <rFont val="Calibri"/>
        <family val="2"/>
        <scheme val="minor"/>
      </rPr>
      <t>- (Already in our Stock)</t>
    </r>
  </si>
  <si>
    <t>DVP16SN11T</t>
  </si>
  <si>
    <t>DVP12SA211R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</si>
</sst>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##0;###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9" fillId="0" borderId="0"/>
    <xf numFmtId="164" fontId="9" fillId="0" borderId="0" applyFont="0" applyFill="0" applyBorder="0" applyAlignment="0" applyProtection="0"/>
  </cellStyleXfs>
  <cellXfs count="4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165" fontId="8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/>
    <xf numFmtId="165" fontId="8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14" fillId="0" borderId="0" xfId="0" applyFont="1" applyAlignment="1">
      <alignment vertical="center"/>
    </xf>
    <xf numFmtId="165" fontId="3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</cellXfs>
  <cellStyles count="3">
    <cellStyle name="Comma 2" xfId="2" xr:uid="{00000000-0005-0000-0000-000001000000}"/>
    <cellStyle name="Normal" xfId="0" builtinId="0"/>
    <cellStyle name="Normal 3" xfId="1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2CC6D-BE32-4950-8FED-E255AD04C3ED}">
  <dimension ref="A1:H98"/>
  <sheetViews>
    <sheetView tabSelected="1" view="pageBreakPreview" topLeftCell="A76" zoomScale="145" zoomScaleNormal="100" zoomScaleSheetLayoutView="145" workbookViewId="0">
      <selection activeCell="D93" sqref="D93"/>
    </sheetView>
  </sheetViews>
  <sheetFormatPr defaultRowHeight="15" x14ac:dyDescent="0.25"/>
  <cols>
    <col min="1" max="1" width="7" bestFit="1" customWidth="1"/>
    <col min="2" max="2" width="70.7109375" customWidth="1"/>
    <col min="3" max="3" width="12.42578125" customWidth="1"/>
    <col min="4" max="4" width="24.5703125" customWidth="1"/>
    <col min="5" max="5" width="5.5703125" bestFit="1" customWidth="1"/>
    <col min="6" max="6" width="5" bestFit="1" customWidth="1"/>
    <col min="7" max="7" width="6.5703125" bestFit="1" customWidth="1"/>
    <col min="8" max="8" width="5.5703125" style="19" bestFit="1" customWidth="1"/>
  </cols>
  <sheetData>
    <row r="1" spans="1:8" s="9" customFormat="1" ht="18.75" customHeight="1" x14ac:dyDescent="0.25">
      <c r="A1" s="39" t="s">
        <v>109</v>
      </c>
      <c r="B1" s="40"/>
      <c r="C1" s="40"/>
      <c r="D1" s="40"/>
      <c r="E1" s="40"/>
      <c r="F1" s="40"/>
      <c r="G1" s="40"/>
      <c r="H1" s="40"/>
    </row>
    <row r="2" spans="1:8" s="10" customFormat="1" ht="30" x14ac:dyDescent="0.25">
      <c r="A2" s="18" t="s">
        <v>13</v>
      </c>
      <c r="B2" s="1" t="s">
        <v>12</v>
      </c>
      <c r="C2" s="1" t="s">
        <v>0</v>
      </c>
      <c r="D2" s="1" t="s">
        <v>1</v>
      </c>
      <c r="E2" s="1" t="s">
        <v>9</v>
      </c>
      <c r="F2" s="1" t="s">
        <v>10</v>
      </c>
      <c r="G2" s="1" t="s">
        <v>11</v>
      </c>
      <c r="H2" s="3" t="s">
        <v>2</v>
      </c>
    </row>
    <row r="3" spans="1:8" s="10" customFormat="1" ht="15.75" x14ac:dyDescent="0.25">
      <c r="A3" s="21" t="s">
        <v>14</v>
      </c>
      <c r="B3" s="22" t="s">
        <v>53</v>
      </c>
      <c r="C3" s="41"/>
      <c r="D3" s="41"/>
      <c r="E3" s="23">
        <v>1</v>
      </c>
      <c r="F3" s="23">
        <v>1</v>
      </c>
      <c r="G3" s="20">
        <f>E3*F3</f>
        <v>1</v>
      </c>
      <c r="H3" s="20" t="s">
        <v>3</v>
      </c>
    </row>
    <row r="4" spans="1:8" s="30" customFormat="1" x14ac:dyDescent="0.25">
      <c r="A4" s="25">
        <v>1</v>
      </c>
      <c r="B4" s="26" t="s">
        <v>43</v>
      </c>
      <c r="C4" s="27" t="s">
        <v>19</v>
      </c>
      <c r="D4" s="28" t="s">
        <v>40</v>
      </c>
      <c r="E4" s="27">
        <v>1</v>
      </c>
      <c r="F4" s="27">
        <f>F3</f>
        <v>1</v>
      </c>
      <c r="G4" s="29">
        <f>E4*F4</f>
        <v>1</v>
      </c>
      <c r="H4" s="29" t="s">
        <v>3</v>
      </c>
    </row>
    <row r="5" spans="1:8" s="11" customFormat="1" x14ac:dyDescent="0.25">
      <c r="A5" s="25">
        <v>2</v>
      </c>
      <c r="B5" s="15" t="s">
        <v>81</v>
      </c>
      <c r="C5" s="13" t="s">
        <v>24</v>
      </c>
      <c r="D5" s="24" t="s">
        <v>23</v>
      </c>
      <c r="E5" s="16">
        <v>1</v>
      </c>
      <c r="F5" s="27">
        <f>F3</f>
        <v>1</v>
      </c>
      <c r="G5" s="14">
        <f t="shared" ref="G5" si="0">E5*F5</f>
        <v>1</v>
      </c>
      <c r="H5" s="14" t="s">
        <v>3</v>
      </c>
    </row>
    <row r="6" spans="1:8" s="11" customFormat="1" x14ac:dyDescent="0.25">
      <c r="A6" s="25">
        <v>3</v>
      </c>
      <c r="B6" s="15" t="s">
        <v>42</v>
      </c>
      <c r="C6" s="13" t="s">
        <v>24</v>
      </c>
      <c r="D6" s="24" t="s">
        <v>25</v>
      </c>
      <c r="E6" s="16">
        <v>2</v>
      </c>
      <c r="F6" s="27">
        <f>F4</f>
        <v>1</v>
      </c>
      <c r="G6" s="14">
        <f t="shared" ref="G6" si="1">E6*F6</f>
        <v>2</v>
      </c>
      <c r="H6" s="14" t="s">
        <v>3</v>
      </c>
    </row>
    <row r="7" spans="1:8" s="10" customFormat="1" x14ac:dyDescent="0.25">
      <c r="A7" s="25">
        <v>4</v>
      </c>
      <c r="B7" s="12" t="s">
        <v>6</v>
      </c>
      <c r="C7" s="13" t="s">
        <v>4</v>
      </c>
      <c r="D7" s="24" t="s">
        <v>20</v>
      </c>
      <c r="E7" s="13">
        <v>1</v>
      </c>
      <c r="F7" s="27">
        <f t="shared" ref="F7:F20" si="2">F6</f>
        <v>1</v>
      </c>
      <c r="G7" s="7">
        <f t="shared" ref="G7:G22" si="3">E7*F7</f>
        <v>1</v>
      </c>
      <c r="H7" s="7" t="s">
        <v>3</v>
      </c>
    </row>
    <row r="8" spans="1:8" s="10" customFormat="1" x14ac:dyDescent="0.25">
      <c r="A8" s="25">
        <v>5</v>
      </c>
      <c r="B8" s="12" t="s">
        <v>7</v>
      </c>
      <c r="C8" s="13" t="s">
        <v>4</v>
      </c>
      <c r="D8" s="24" t="s">
        <v>21</v>
      </c>
      <c r="E8" s="13">
        <v>1</v>
      </c>
      <c r="F8" s="27">
        <f t="shared" si="2"/>
        <v>1</v>
      </c>
      <c r="G8" s="7">
        <f t="shared" si="3"/>
        <v>1</v>
      </c>
      <c r="H8" s="7" t="s">
        <v>3</v>
      </c>
    </row>
    <row r="9" spans="1:8" s="10" customFormat="1" x14ac:dyDescent="0.25">
      <c r="A9" s="25">
        <v>6</v>
      </c>
      <c r="B9" s="12" t="s">
        <v>8</v>
      </c>
      <c r="C9" s="13" t="s">
        <v>4</v>
      </c>
      <c r="D9" s="24" t="s">
        <v>22</v>
      </c>
      <c r="E9" s="13">
        <v>1</v>
      </c>
      <c r="F9" s="27">
        <f t="shared" si="2"/>
        <v>1</v>
      </c>
      <c r="G9" s="7">
        <f t="shared" si="3"/>
        <v>1</v>
      </c>
      <c r="H9" s="7" t="s">
        <v>3</v>
      </c>
    </row>
    <row r="10" spans="1:8" s="10" customFormat="1" x14ac:dyDescent="0.25">
      <c r="A10" s="25">
        <v>7</v>
      </c>
      <c r="B10" s="12" t="s">
        <v>78</v>
      </c>
      <c r="C10" s="13" t="s">
        <v>79</v>
      </c>
      <c r="D10" s="24" t="s">
        <v>80</v>
      </c>
      <c r="E10" s="13">
        <v>1</v>
      </c>
      <c r="F10" s="13">
        <v>1</v>
      </c>
      <c r="G10" s="7">
        <f t="shared" si="3"/>
        <v>1</v>
      </c>
      <c r="H10" s="7" t="s">
        <v>3</v>
      </c>
    </row>
    <row r="11" spans="1:8" s="10" customFormat="1" x14ac:dyDescent="0.25">
      <c r="A11" s="25">
        <v>8</v>
      </c>
      <c r="B11" s="12" t="s">
        <v>82</v>
      </c>
      <c r="C11" s="13" t="s">
        <v>15</v>
      </c>
      <c r="D11" s="24" t="s">
        <v>40</v>
      </c>
      <c r="E11" s="13">
        <v>3</v>
      </c>
      <c r="F11" s="13">
        <v>1</v>
      </c>
      <c r="G11" s="7">
        <f t="shared" ref="G11" si="4">E11*F11</f>
        <v>3</v>
      </c>
      <c r="H11" s="7" t="s">
        <v>3</v>
      </c>
    </row>
    <row r="12" spans="1:8" s="10" customFormat="1" x14ac:dyDescent="0.25">
      <c r="A12" s="25">
        <v>9</v>
      </c>
      <c r="B12" s="12" t="s">
        <v>83</v>
      </c>
      <c r="C12" s="13" t="s">
        <v>4</v>
      </c>
      <c r="D12" s="24" t="s">
        <v>40</v>
      </c>
      <c r="E12" s="13">
        <v>1</v>
      </c>
      <c r="F12" s="13">
        <v>1</v>
      </c>
      <c r="G12" s="7">
        <f t="shared" si="3"/>
        <v>1</v>
      </c>
      <c r="H12" s="7" t="s">
        <v>3</v>
      </c>
    </row>
    <row r="13" spans="1:8" s="9" customFormat="1" x14ac:dyDescent="0.25">
      <c r="A13" s="25">
        <v>10</v>
      </c>
      <c r="B13" s="15" t="s">
        <v>27</v>
      </c>
      <c r="C13" s="16" t="s">
        <v>4</v>
      </c>
      <c r="D13" s="13" t="s">
        <v>28</v>
      </c>
      <c r="E13" s="16">
        <v>1</v>
      </c>
      <c r="F13" s="13">
        <v>1</v>
      </c>
      <c r="G13" s="14">
        <f t="shared" si="3"/>
        <v>1</v>
      </c>
      <c r="H13" s="14" t="s">
        <v>3</v>
      </c>
    </row>
    <row r="14" spans="1:8" s="10" customFormat="1" x14ac:dyDescent="0.25">
      <c r="A14" s="25">
        <v>11</v>
      </c>
      <c r="B14" s="12" t="s">
        <v>54</v>
      </c>
      <c r="C14" s="13" t="s">
        <v>18</v>
      </c>
      <c r="D14" s="24" t="s">
        <v>40</v>
      </c>
      <c r="E14" s="13">
        <v>2</v>
      </c>
      <c r="F14" s="13">
        <v>1</v>
      </c>
      <c r="G14" s="7">
        <f t="shared" ref="G14" si="5">E14*F14</f>
        <v>2</v>
      </c>
      <c r="H14" s="7" t="s">
        <v>3</v>
      </c>
    </row>
    <row r="15" spans="1:8" s="10" customFormat="1" x14ac:dyDescent="0.25">
      <c r="A15" s="25">
        <v>12</v>
      </c>
      <c r="B15" s="12" t="s">
        <v>17</v>
      </c>
      <c r="C15" s="13" t="s">
        <v>18</v>
      </c>
      <c r="D15" s="24" t="s">
        <v>40</v>
      </c>
      <c r="E15" s="13">
        <v>1</v>
      </c>
      <c r="F15" s="13">
        <v>1</v>
      </c>
      <c r="G15" s="7">
        <f t="shared" si="3"/>
        <v>1</v>
      </c>
      <c r="H15" s="7" t="s">
        <v>3</v>
      </c>
    </row>
    <row r="16" spans="1:8" s="10" customFormat="1" x14ac:dyDescent="0.25">
      <c r="A16" s="25">
        <v>13</v>
      </c>
      <c r="B16" s="12" t="s">
        <v>44</v>
      </c>
      <c r="C16" s="13" t="s">
        <v>15</v>
      </c>
      <c r="D16" s="24" t="s">
        <v>40</v>
      </c>
      <c r="E16" s="13">
        <v>3</v>
      </c>
      <c r="F16" s="27">
        <f>F9</f>
        <v>1</v>
      </c>
      <c r="G16" s="7">
        <f t="shared" si="3"/>
        <v>3</v>
      </c>
      <c r="H16" s="7" t="s">
        <v>3</v>
      </c>
    </row>
    <row r="17" spans="1:8" s="10" customFormat="1" x14ac:dyDescent="0.25">
      <c r="A17" s="25">
        <v>14</v>
      </c>
      <c r="B17" s="12" t="s">
        <v>45</v>
      </c>
      <c r="C17" s="13" t="s">
        <v>5</v>
      </c>
      <c r="D17" s="24" t="s">
        <v>40</v>
      </c>
      <c r="E17" s="13">
        <v>3</v>
      </c>
      <c r="F17" s="27">
        <f t="shared" si="2"/>
        <v>1</v>
      </c>
      <c r="G17" s="7">
        <f t="shared" si="3"/>
        <v>3</v>
      </c>
      <c r="H17" s="7" t="s">
        <v>3</v>
      </c>
    </row>
    <row r="18" spans="1:8" s="10" customFormat="1" x14ac:dyDescent="0.25">
      <c r="A18" s="25">
        <v>15</v>
      </c>
      <c r="B18" s="12" t="s">
        <v>38</v>
      </c>
      <c r="C18" s="13" t="s">
        <v>46</v>
      </c>
      <c r="D18" s="24" t="s">
        <v>40</v>
      </c>
      <c r="E18" s="13">
        <v>1</v>
      </c>
      <c r="F18" s="27">
        <f t="shared" si="2"/>
        <v>1</v>
      </c>
      <c r="G18" s="7">
        <f t="shared" si="3"/>
        <v>1</v>
      </c>
      <c r="H18" s="7" t="s">
        <v>3</v>
      </c>
    </row>
    <row r="19" spans="1:8" s="10" customFormat="1" x14ac:dyDescent="0.25">
      <c r="A19" s="25">
        <v>16</v>
      </c>
      <c r="B19" s="12" t="s">
        <v>47</v>
      </c>
      <c r="C19" s="13" t="s">
        <v>48</v>
      </c>
      <c r="D19" s="24" t="s">
        <v>40</v>
      </c>
      <c r="E19" s="13">
        <v>1</v>
      </c>
      <c r="F19" s="27">
        <f t="shared" si="2"/>
        <v>1</v>
      </c>
      <c r="G19" s="7">
        <f t="shared" si="3"/>
        <v>1</v>
      </c>
      <c r="H19" s="7" t="s">
        <v>3</v>
      </c>
    </row>
    <row r="20" spans="1:8" s="10" customFormat="1" x14ac:dyDescent="0.25">
      <c r="A20" s="25">
        <v>17</v>
      </c>
      <c r="B20" s="12" t="s">
        <v>84</v>
      </c>
      <c r="C20" s="13" t="s">
        <v>49</v>
      </c>
      <c r="D20" s="24" t="s">
        <v>40</v>
      </c>
      <c r="E20" s="13">
        <v>2</v>
      </c>
      <c r="F20" s="27">
        <f t="shared" si="2"/>
        <v>1</v>
      </c>
      <c r="G20" s="7">
        <f t="shared" si="3"/>
        <v>2</v>
      </c>
      <c r="H20" s="7" t="s">
        <v>3</v>
      </c>
    </row>
    <row r="21" spans="1:8" s="10" customFormat="1" x14ac:dyDescent="0.25">
      <c r="A21" s="25">
        <v>18</v>
      </c>
      <c r="B21" s="12" t="s">
        <v>85</v>
      </c>
      <c r="C21" s="13" t="s">
        <v>50</v>
      </c>
      <c r="D21" s="24" t="s">
        <v>40</v>
      </c>
      <c r="E21" s="13">
        <v>4</v>
      </c>
      <c r="F21" s="27">
        <f>F19</f>
        <v>1</v>
      </c>
      <c r="G21" s="7">
        <f t="shared" si="3"/>
        <v>4</v>
      </c>
      <c r="H21" s="7" t="s">
        <v>3</v>
      </c>
    </row>
    <row r="22" spans="1:8" s="10" customFormat="1" x14ac:dyDescent="0.25">
      <c r="A22" s="25">
        <v>19</v>
      </c>
      <c r="B22" s="12" t="s">
        <v>51</v>
      </c>
      <c r="C22" s="13" t="s">
        <v>15</v>
      </c>
      <c r="D22" s="24" t="s">
        <v>40</v>
      </c>
      <c r="E22" s="13">
        <v>5</v>
      </c>
      <c r="F22" s="27">
        <f>F19</f>
        <v>1</v>
      </c>
      <c r="G22" s="7">
        <f t="shared" si="3"/>
        <v>5</v>
      </c>
      <c r="H22" s="7" t="s">
        <v>3</v>
      </c>
    </row>
    <row r="23" spans="1:8" s="10" customFormat="1" x14ac:dyDescent="0.25">
      <c r="A23" s="25">
        <v>20</v>
      </c>
      <c r="B23" s="12" t="s">
        <v>52</v>
      </c>
      <c r="C23" s="13" t="s">
        <v>15</v>
      </c>
      <c r="D23" s="24" t="s">
        <v>40</v>
      </c>
      <c r="E23" s="13">
        <v>5</v>
      </c>
      <c r="F23" s="27">
        <f>F20</f>
        <v>1</v>
      </c>
      <c r="G23" s="7">
        <f t="shared" ref="G23" si="6">E23*F23</f>
        <v>5</v>
      </c>
      <c r="H23" s="7" t="s">
        <v>3</v>
      </c>
    </row>
    <row r="24" spans="1:8" s="32" customFormat="1" ht="21" x14ac:dyDescent="0.25">
      <c r="A24" s="36" t="s">
        <v>39</v>
      </c>
      <c r="B24" s="37"/>
      <c r="C24" s="37"/>
      <c r="D24" s="37"/>
      <c r="E24" s="37"/>
      <c r="F24" s="37"/>
      <c r="G24" s="37"/>
      <c r="H24" s="38"/>
    </row>
    <row r="25" spans="1:8" s="9" customFormat="1" ht="15.75" x14ac:dyDescent="0.25">
      <c r="A25" s="6">
        <v>1</v>
      </c>
      <c r="B25" s="4" t="s">
        <v>88</v>
      </c>
      <c r="C25" s="35"/>
      <c r="D25" s="35"/>
      <c r="E25" s="17">
        <v>1</v>
      </c>
      <c r="F25" s="17">
        <v>1</v>
      </c>
      <c r="G25" s="5">
        <f t="shared" ref="G25:G32" si="7">E25*F25</f>
        <v>1</v>
      </c>
      <c r="H25" s="5" t="s">
        <v>3</v>
      </c>
    </row>
    <row r="26" spans="1:8" s="10" customFormat="1" x14ac:dyDescent="0.25">
      <c r="A26" s="2">
        <v>1</v>
      </c>
      <c r="B26" s="12" t="s">
        <v>57</v>
      </c>
      <c r="C26" s="13" t="s">
        <v>24</v>
      </c>
      <c r="D26" s="24" t="s">
        <v>58</v>
      </c>
      <c r="E26" s="13">
        <v>1</v>
      </c>
      <c r="F26" s="13">
        <v>1</v>
      </c>
      <c r="G26" s="7">
        <f t="shared" si="7"/>
        <v>1</v>
      </c>
      <c r="H26" s="7" t="s">
        <v>3</v>
      </c>
    </row>
    <row r="27" spans="1:8" s="10" customFormat="1" x14ac:dyDescent="0.25">
      <c r="A27" s="2">
        <v>2</v>
      </c>
      <c r="B27" s="12" t="s">
        <v>26</v>
      </c>
      <c r="C27" s="13" t="s">
        <v>24</v>
      </c>
      <c r="D27" s="24" t="s">
        <v>31</v>
      </c>
      <c r="E27" s="13">
        <v>1</v>
      </c>
      <c r="F27" s="13">
        <v>1</v>
      </c>
      <c r="G27" s="7">
        <f t="shared" si="7"/>
        <v>1</v>
      </c>
      <c r="H27" s="7" t="s">
        <v>3</v>
      </c>
    </row>
    <row r="28" spans="1:8" s="10" customFormat="1" x14ac:dyDescent="0.25">
      <c r="A28" s="2">
        <v>3</v>
      </c>
      <c r="B28" s="12" t="s">
        <v>86</v>
      </c>
      <c r="C28" s="13" t="s">
        <v>24</v>
      </c>
      <c r="D28" s="24" t="s">
        <v>87</v>
      </c>
      <c r="E28" s="13">
        <v>1</v>
      </c>
      <c r="F28" s="13">
        <v>1</v>
      </c>
      <c r="G28" s="7">
        <f t="shared" si="7"/>
        <v>1</v>
      </c>
      <c r="H28" s="7" t="s">
        <v>3</v>
      </c>
    </row>
    <row r="29" spans="1:8" s="10" customFormat="1" x14ac:dyDescent="0.25">
      <c r="A29" s="2">
        <v>4</v>
      </c>
      <c r="B29" s="12" t="s">
        <v>60</v>
      </c>
      <c r="C29" s="13" t="s">
        <v>4</v>
      </c>
      <c r="D29" s="24" t="s">
        <v>40</v>
      </c>
      <c r="E29" s="13">
        <v>1</v>
      </c>
      <c r="F29" s="13">
        <v>1</v>
      </c>
      <c r="G29" s="7">
        <f t="shared" si="7"/>
        <v>1</v>
      </c>
      <c r="H29" s="7" t="s">
        <v>3</v>
      </c>
    </row>
    <row r="30" spans="1:8" s="9" customFormat="1" x14ac:dyDescent="0.25">
      <c r="A30" s="2">
        <v>5</v>
      </c>
      <c r="B30" s="15" t="s">
        <v>27</v>
      </c>
      <c r="C30" s="16" t="s">
        <v>4</v>
      </c>
      <c r="D30" s="13" t="s">
        <v>28</v>
      </c>
      <c r="E30" s="13">
        <v>1</v>
      </c>
      <c r="F30" s="13">
        <v>1</v>
      </c>
      <c r="G30" s="14">
        <f t="shared" si="7"/>
        <v>1</v>
      </c>
      <c r="H30" s="14" t="s">
        <v>3</v>
      </c>
    </row>
    <row r="31" spans="1:8" s="10" customFormat="1" x14ac:dyDescent="0.25">
      <c r="A31" s="2">
        <v>6</v>
      </c>
      <c r="B31" s="12" t="s">
        <v>56</v>
      </c>
      <c r="C31" s="13" t="s">
        <v>15</v>
      </c>
      <c r="D31" s="24" t="s">
        <v>40</v>
      </c>
      <c r="E31" s="13">
        <v>3</v>
      </c>
      <c r="F31" s="13">
        <v>1</v>
      </c>
      <c r="G31" s="7">
        <f t="shared" si="7"/>
        <v>3</v>
      </c>
      <c r="H31" s="7" t="s">
        <v>3</v>
      </c>
    </row>
    <row r="32" spans="1:8" s="10" customFormat="1" x14ac:dyDescent="0.25">
      <c r="A32" s="2">
        <v>7</v>
      </c>
      <c r="B32" s="12" t="s">
        <v>55</v>
      </c>
      <c r="C32" s="13" t="s">
        <v>16</v>
      </c>
      <c r="D32" s="24" t="s">
        <v>40</v>
      </c>
      <c r="E32" s="13">
        <v>1</v>
      </c>
      <c r="F32" s="13">
        <v>1</v>
      </c>
      <c r="G32" s="7">
        <f t="shared" si="7"/>
        <v>1</v>
      </c>
      <c r="H32" s="7" t="s">
        <v>33</v>
      </c>
    </row>
    <row r="33" spans="1:8" s="9" customFormat="1" ht="15.75" x14ac:dyDescent="0.25">
      <c r="A33" s="6">
        <v>2</v>
      </c>
      <c r="B33" s="4" t="s">
        <v>89</v>
      </c>
      <c r="C33" s="35"/>
      <c r="D33" s="35"/>
      <c r="E33" s="17">
        <v>1</v>
      </c>
      <c r="F33" s="17">
        <v>1</v>
      </c>
      <c r="G33" s="5">
        <f t="shared" ref="G33:G40" si="8">E33*F33</f>
        <v>1</v>
      </c>
      <c r="H33" s="5" t="s">
        <v>3</v>
      </c>
    </row>
    <row r="34" spans="1:8" s="10" customFormat="1" x14ac:dyDescent="0.25">
      <c r="A34" s="2">
        <v>1</v>
      </c>
      <c r="B34" s="12" t="s">
        <v>57</v>
      </c>
      <c r="C34" s="13" t="s">
        <v>24</v>
      </c>
      <c r="D34" s="24" t="s">
        <v>58</v>
      </c>
      <c r="E34" s="13">
        <v>1</v>
      </c>
      <c r="F34" s="13">
        <v>1</v>
      </c>
      <c r="G34" s="7">
        <f t="shared" si="8"/>
        <v>1</v>
      </c>
      <c r="H34" s="7" t="s">
        <v>3</v>
      </c>
    </row>
    <row r="35" spans="1:8" s="10" customFormat="1" x14ac:dyDescent="0.25">
      <c r="A35" s="2">
        <v>2</v>
      </c>
      <c r="B35" s="12" t="s">
        <v>26</v>
      </c>
      <c r="C35" s="13" t="s">
        <v>24</v>
      </c>
      <c r="D35" s="24" t="s">
        <v>31</v>
      </c>
      <c r="E35" s="13">
        <v>1</v>
      </c>
      <c r="F35" s="13">
        <v>1</v>
      </c>
      <c r="G35" s="7">
        <f t="shared" si="8"/>
        <v>1</v>
      </c>
      <c r="H35" s="7" t="s">
        <v>3</v>
      </c>
    </row>
    <row r="36" spans="1:8" s="10" customFormat="1" x14ac:dyDescent="0.25">
      <c r="A36" s="2">
        <v>3</v>
      </c>
      <c r="B36" s="12" t="s">
        <v>86</v>
      </c>
      <c r="C36" s="13" t="s">
        <v>24</v>
      </c>
      <c r="D36" s="24" t="s">
        <v>87</v>
      </c>
      <c r="E36" s="13">
        <v>1</v>
      </c>
      <c r="F36" s="13">
        <v>1</v>
      </c>
      <c r="G36" s="7">
        <f t="shared" si="8"/>
        <v>1</v>
      </c>
      <c r="H36" s="7" t="s">
        <v>3</v>
      </c>
    </row>
    <row r="37" spans="1:8" s="10" customFormat="1" x14ac:dyDescent="0.25">
      <c r="A37" s="2">
        <v>4</v>
      </c>
      <c r="B37" s="12" t="s">
        <v>60</v>
      </c>
      <c r="C37" s="13" t="s">
        <v>4</v>
      </c>
      <c r="D37" s="24" t="s">
        <v>40</v>
      </c>
      <c r="E37" s="13">
        <v>1</v>
      </c>
      <c r="F37" s="13">
        <v>1</v>
      </c>
      <c r="G37" s="7">
        <f t="shared" si="8"/>
        <v>1</v>
      </c>
      <c r="H37" s="7" t="s">
        <v>3</v>
      </c>
    </row>
    <row r="38" spans="1:8" s="9" customFormat="1" x14ac:dyDescent="0.25">
      <c r="A38" s="2">
        <v>5</v>
      </c>
      <c r="B38" s="15" t="s">
        <v>27</v>
      </c>
      <c r="C38" s="16" t="s">
        <v>4</v>
      </c>
      <c r="D38" s="13" t="s">
        <v>28</v>
      </c>
      <c r="E38" s="13">
        <v>1</v>
      </c>
      <c r="F38" s="13">
        <v>1</v>
      </c>
      <c r="G38" s="14">
        <f t="shared" si="8"/>
        <v>1</v>
      </c>
      <c r="H38" s="14" t="s">
        <v>3</v>
      </c>
    </row>
    <row r="39" spans="1:8" s="10" customFormat="1" x14ac:dyDescent="0.25">
      <c r="A39" s="2">
        <v>6</v>
      </c>
      <c r="B39" s="12" t="s">
        <v>56</v>
      </c>
      <c r="C39" s="13" t="s">
        <v>15</v>
      </c>
      <c r="D39" s="24" t="s">
        <v>40</v>
      </c>
      <c r="E39" s="13">
        <v>3</v>
      </c>
      <c r="F39" s="13">
        <v>1</v>
      </c>
      <c r="G39" s="7">
        <f t="shared" si="8"/>
        <v>3</v>
      </c>
      <c r="H39" s="7" t="s">
        <v>3</v>
      </c>
    </row>
    <row r="40" spans="1:8" s="10" customFormat="1" x14ac:dyDescent="0.25">
      <c r="A40" s="2">
        <v>7</v>
      </c>
      <c r="B40" s="12" t="s">
        <v>55</v>
      </c>
      <c r="C40" s="13" t="s">
        <v>16</v>
      </c>
      <c r="D40" s="24" t="s">
        <v>40</v>
      </c>
      <c r="E40" s="13">
        <v>1</v>
      </c>
      <c r="F40" s="13">
        <v>1</v>
      </c>
      <c r="G40" s="7">
        <f t="shared" si="8"/>
        <v>1</v>
      </c>
      <c r="H40" s="7" t="s">
        <v>33</v>
      </c>
    </row>
    <row r="41" spans="1:8" s="9" customFormat="1" ht="15.75" x14ac:dyDescent="0.25">
      <c r="A41" s="6">
        <v>3</v>
      </c>
      <c r="B41" s="4" t="s">
        <v>90</v>
      </c>
      <c r="C41" s="35"/>
      <c r="D41" s="35"/>
      <c r="E41" s="17">
        <v>2</v>
      </c>
      <c r="F41" s="17">
        <v>1</v>
      </c>
      <c r="G41" s="5">
        <f t="shared" ref="G41:G56" si="9">E41*F41</f>
        <v>2</v>
      </c>
      <c r="H41" s="5" t="s">
        <v>3</v>
      </c>
    </row>
    <row r="42" spans="1:8" s="10" customFormat="1" x14ac:dyDescent="0.25">
      <c r="A42" s="2">
        <v>1</v>
      </c>
      <c r="B42" s="12" t="s">
        <v>41</v>
      </c>
      <c r="C42" s="13" t="s">
        <v>24</v>
      </c>
      <c r="D42" s="24" t="s">
        <v>58</v>
      </c>
      <c r="E42" s="13">
        <v>1</v>
      </c>
      <c r="F42" s="13">
        <v>1</v>
      </c>
      <c r="G42" s="7">
        <f t="shared" si="9"/>
        <v>1</v>
      </c>
      <c r="H42" s="7" t="s">
        <v>3</v>
      </c>
    </row>
    <row r="43" spans="1:8" s="10" customFormat="1" x14ac:dyDescent="0.25">
      <c r="A43" s="2">
        <v>2</v>
      </c>
      <c r="B43" s="12" t="s">
        <v>26</v>
      </c>
      <c r="C43" s="13" t="s">
        <v>24</v>
      </c>
      <c r="D43" s="24" t="s">
        <v>31</v>
      </c>
      <c r="E43" s="13">
        <v>2</v>
      </c>
      <c r="F43" s="13">
        <v>1</v>
      </c>
      <c r="G43" s="7">
        <f t="shared" si="9"/>
        <v>2</v>
      </c>
      <c r="H43" s="7" t="s">
        <v>3</v>
      </c>
    </row>
    <row r="44" spans="1:8" s="10" customFormat="1" x14ac:dyDescent="0.25">
      <c r="A44" s="2">
        <v>3</v>
      </c>
      <c r="B44" s="12" t="s">
        <v>91</v>
      </c>
      <c r="C44" s="13" t="s">
        <v>24</v>
      </c>
      <c r="D44" s="24" t="s">
        <v>92</v>
      </c>
      <c r="E44" s="13">
        <v>2</v>
      </c>
      <c r="F44" s="13">
        <v>1</v>
      </c>
      <c r="G44" s="7">
        <f t="shared" si="9"/>
        <v>2</v>
      </c>
      <c r="H44" s="7" t="s">
        <v>3</v>
      </c>
    </row>
    <row r="45" spans="1:8" s="10" customFormat="1" x14ac:dyDescent="0.25">
      <c r="A45" s="2">
        <v>4</v>
      </c>
      <c r="B45" s="12" t="s">
        <v>60</v>
      </c>
      <c r="C45" s="13" t="s">
        <v>4</v>
      </c>
      <c r="D45" s="24" t="s">
        <v>40</v>
      </c>
      <c r="E45" s="13">
        <v>2</v>
      </c>
      <c r="F45" s="13">
        <v>1</v>
      </c>
      <c r="G45" s="7">
        <f t="shared" si="9"/>
        <v>2</v>
      </c>
      <c r="H45" s="7" t="s">
        <v>3</v>
      </c>
    </row>
    <row r="46" spans="1:8" s="9" customFormat="1" x14ac:dyDescent="0.25">
      <c r="A46" s="2">
        <v>5</v>
      </c>
      <c r="B46" s="15" t="s">
        <v>27</v>
      </c>
      <c r="C46" s="16" t="s">
        <v>4</v>
      </c>
      <c r="D46" s="13" t="s">
        <v>28</v>
      </c>
      <c r="E46" s="16">
        <v>2</v>
      </c>
      <c r="F46" s="13">
        <v>1</v>
      </c>
      <c r="G46" s="14">
        <f t="shared" si="9"/>
        <v>2</v>
      </c>
      <c r="H46" s="14" t="s">
        <v>3</v>
      </c>
    </row>
    <row r="47" spans="1:8" s="10" customFormat="1" x14ac:dyDescent="0.25">
      <c r="A47" s="2">
        <v>6</v>
      </c>
      <c r="B47" s="12" t="s">
        <v>56</v>
      </c>
      <c r="C47" s="13" t="s">
        <v>15</v>
      </c>
      <c r="D47" s="24"/>
      <c r="E47" s="13">
        <v>3</v>
      </c>
      <c r="F47" s="13">
        <v>2</v>
      </c>
      <c r="G47" s="7">
        <f t="shared" si="9"/>
        <v>6</v>
      </c>
      <c r="H47" s="7" t="s">
        <v>3</v>
      </c>
    </row>
    <row r="48" spans="1:8" s="10" customFormat="1" x14ac:dyDescent="0.25">
      <c r="A48" s="2">
        <v>7</v>
      </c>
      <c r="B48" s="12" t="s">
        <v>55</v>
      </c>
      <c r="C48" s="13" t="s">
        <v>16</v>
      </c>
      <c r="D48" s="24"/>
      <c r="E48" s="13">
        <v>1</v>
      </c>
      <c r="F48" s="13">
        <v>1</v>
      </c>
      <c r="G48" s="7">
        <f t="shared" si="9"/>
        <v>1</v>
      </c>
      <c r="H48" s="7" t="s">
        <v>33</v>
      </c>
    </row>
    <row r="49" spans="1:8" s="9" customFormat="1" ht="15.75" x14ac:dyDescent="0.25">
      <c r="A49" s="6">
        <v>4</v>
      </c>
      <c r="B49" s="4" t="s">
        <v>95</v>
      </c>
      <c r="C49" s="35"/>
      <c r="D49" s="35"/>
      <c r="E49" s="17">
        <v>1</v>
      </c>
      <c r="F49" s="17">
        <v>1</v>
      </c>
      <c r="G49" s="5">
        <f t="shared" si="9"/>
        <v>1</v>
      </c>
      <c r="H49" s="5" t="s">
        <v>3</v>
      </c>
    </row>
    <row r="50" spans="1:8" s="10" customFormat="1" x14ac:dyDescent="0.25">
      <c r="A50" s="2">
        <v>1</v>
      </c>
      <c r="B50" s="12" t="s">
        <v>41</v>
      </c>
      <c r="C50" s="13" t="s">
        <v>24</v>
      </c>
      <c r="D50" s="24" t="s">
        <v>23</v>
      </c>
      <c r="E50" s="13">
        <v>1</v>
      </c>
      <c r="F50" s="13">
        <v>1</v>
      </c>
      <c r="G50" s="7">
        <f t="shared" si="9"/>
        <v>1</v>
      </c>
      <c r="H50" s="7" t="s">
        <v>3</v>
      </c>
    </row>
    <row r="51" spans="1:8" s="10" customFormat="1" x14ac:dyDescent="0.25">
      <c r="A51" s="2">
        <v>2</v>
      </c>
      <c r="B51" s="12" t="s">
        <v>26</v>
      </c>
      <c r="C51" s="13" t="s">
        <v>24</v>
      </c>
      <c r="D51" s="24" t="s">
        <v>31</v>
      </c>
      <c r="E51" s="13">
        <v>1</v>
      </c>
      <c r="F51" s="13">
        <v>1</v>
      </c>
      <c r="G51" s="7">
        <f t="shared" si="9"/>
        <v>1</v>
      </c>
      <c r="H51" s="7" t="s">
        <v>3</v>
      </c>
    </row>
    <row r="52" spans="1:8" s="10" customFormat="1" x14ac:dyDescent="0.25">
      <c r="A52" s="2">
        <v>3</v>
      </c>
      <c r="B52" s="12" t="s">
        <v>93</v>
      </c>
      <c r="C52" s="13" t="s">
        <v>24</v>
      </c>
      <c r="D52" s="24" t="s">
        <v>94</v>
      </c>
      <c r="E52" s="13">
        <v>1</v>
      </c>
      <c r="F52" s="13">
        <v>1</v>
      </c>
      <c r="G52" s="7">
        <f t="shared" si="9"/>
        <v>1</v>
      </c>
      <c r="H52" s="7" t="s">
        <v>3</v>
      </c>
    </row>
    <row r="53" spans="1:8" s="10" customFormat="1" x14ac:dyDescent="0.25">
      <c r="A53" s="2">
        <v>4</v>
      </c>
      <c r="B53" s="12" t="s">
        <v>60</v>
      </c>
      <c r="C53" s="13" t="s">
        <v>4</v>
      </c>
      <c r="D53" s="24" t="s">
        <v>40</v>
      </c>
      <c r="E53" s="13">
        <v>1</v>
      </c>
      <c r="F53" s="13">
        <v>1</v>
      </c>
      <c r="G53" s="7">
        <f t="shared" si="9"/>
        <v>1</v>
      </c>
      <c r="H53" s="7" t="s">
        <v>3</v>
      </c>
    </row>
    <row r="54" spans="1:8" s="9" customFormat="1" x14ac:dyDescent="0.25">
      <c r="A54" s="2">
        <v>5</v>
      </c>
      <c r="B54" s="15" t="s">
        <v>27</v>
      </c>
      <c r="C54" s="16" t="s">
        <v>4</v>
      </c>
      <c r="D54" s="13" t="s">
        <v>28</v>
      </c>
      <c r="E54" s="16">
        <v>1</v>
      </c>
      <c r="F54" s="13">
        <v>1</v>
      </c>
      <c r="G54" s="14">
        <f t="shared" si="9"/>
        <v>1</v>
      </c>
      <c r="H54" s="14" t="s">
        <v>3</v>
      </c>
    </row>
    <row r="55" spans="1:8" s="10" customFormat="1" x14ac:dyDescent="0.25">
      <c r="A55" s="2">
        <v>6</v>
      </c>
      <c r="B55" s="12" t="s">
        <v>56</v>
      </c>
      <c r="C55" s="13" t="s">
        <v>15</v>
      </c>
      <c r="D55" s="24" t="s">
        <v>40</v>
      </c>
      <c r="E55" s="13">
        <v>3</v>
      </c>
      <c r="F55" s="13">
        <v>1</v>
      </c>
      <c r="G55" s="7">
        <f t="shared" si="9"/>
        <v>3</v>
      </c>
      <c r="H55" s="7" t="s">
        <v>3</v>
      </c>
    </row>
    <row r="56" spans="1:8" s="10" customFormat="1" x14ac:dyDescent="0.25">
      <c r="A56" s="2">
        <v>7</v>
      </c>
      <c r="B56" s="12" t="s">
        <v>55</v>
      </c>
      <c r="C56" s="13" t="s">
        <v>16</v>
      </c>
      <c r="D56" s="24" t="s">
        <v>40</v>
      </c>
      <c r="E56" s="13">
        <v>1</v>
      </c>
      <c r="F56" s="13">
        <v>1</v>
      </c>
      <c r="G56" s="7">
        <f t="shared" si="9"/>
        <v>1</v>
      </c>
      <c r="H56" s="7" t="s">
        <v>33</v>
      </c>
    </row>
    <row r="57" spans="1:8" s="9" customFormat="1" ht="15.75" x14ac:dyDescent="0.25">
      <c r="A57" s="6">
        <v>5</v>
      </c>
      <c r="B57" s="4" t="s">
        <v>96</v>
      </c>
      <c r="C57" s="35"/>
      <c r="D57" s="35"/>
      <c r="E57" s="17">
        <v>2</v>
      </c>
      <c r="F57" s="17">
        <v>1</v>
      </c>
      <c r="G57" s="5">
        <f t="shared" ref="G57:G70" si="10">E57*F57</f>
        <v>2</v>
      </c>
      <c r="H57" s="5" t="s">
        <v>3</v>
      </c>
    </row>
    <row r="58" spans="1:8" s="10" customFormat="1" x14ac:dyDescent="0.25">
      <c r="A58" s="2">
        <v>1</v>
      </c>
      <c r="B58" s="12" t="s">
        <v>41</v>
      </c>
      <c r="C58" s="13" t="s">
        <v>24</v>
      </c>
      <c r="D58" s="24" t="s">
        <v>23</v>
      </c>
      <c r="E58" s="13">
        <v>2</v>
      </c>
      <c r="F58" s="13">
        <v>1</v>
      </c>
      <c r="G58" s="7">
        <f t="shared" si="10"/>
        <v>2</v>
      </c>
      <c r="H58" s="7" t="s">
        <v>3</v>
      </c>
    </row>
    <row r="59" spans="1:8" s="10" customFormat="1" x14ac:dyDescent="0.25">
      <c r="A59" s="2">
        <v>2</v>
      </c>
      <c r="B59" s="12" t="s">
        <v>111</v>
      </c>
      <c r="C59" s="13" t="s">
        <v>68</v>
      </c>
      <c r="D59" s="24" t="s">
        <v>99</v>
      </c>
      <c r="E59" s="13">
        <v>1</v>
      </c>
      <c r="F59" s="13">
        <v>1</v>
      </c>
      <c r="G59" s="7">
        <f t="shared" ref="G59" si="11">E59*F59</f>
        <v>1</v>
      </c>
      <c r="H59" s="7" t="s">
        <v>3</v>
      </c>
    </row>
    <row r="60" spans="1:8" s="10" customFormat="1" x14ac:dyDescent="0.25">
      <c r="A60" s="2">
        <v>3</v>
      </c>
      <c r="B60" s="12" t="s">
        <v>26</v>
      </c>
      <c r="C60" s="13" t="s">
        <v>24</v>
      </c>
      <c r="D60" s="24" t="s">
        <v>31</v>
      </c>
      <c r="E60" s="13">
        <v>4</v>
      </c>
      <c r="F60" s="13">
        <v>1</v>
      </c>
      <c r="G60" s="7">
        <f t="shared" si="10"/>
        <v>4</v>
      </c>
      <c r="H60" s="7" t="s">
        <v>3</v>
      </c>
    </row>
    <row r="61" spans="1:8" s="10" customFormat="1" x14ac:dyDescent="0.25">
      <c r="A61" s="2">
        <v>4</v>
      </c>
      <c r="B61" s="12" t="s">
        <v>98</v>
      </c>
      <c r="C61" s="13" t="s">
        <v>24</v>
      </c>
      <c r="D61" s="24" t="s">
        <v>97</v>
      </c>
      <c r="E61" s="13">
        <v>2</v>
      </c>
      <c r="F61" s="13">
        <v>1</v>
      </c>
      <c r="G61" s="7">
        <f t="shared" si="10"/>
        <v>2</v>
      </c>
      <c r="H61" s="7" t="s">
        <v>3</v>
      </c>
    </row>
    <row r="62" spans="1:8" s="10" customFormat="1" x14ac:dyDescent="0.25">
      <c r="A62" s="2">
        <v>5</v>
      </c>
      <c r="B62" s="12" t="s">
        <v>104</v>
      </c>
      <c r="C62" s="13" t="s">
        <v>24</v>
      </c>
      <c r="D62" s="24" t="s">
        <v>105</v>
      </c>
      <c r="E62" s="13">
        <v>4</v>
      </c>
      <c r="F62" s="13">
        <v>1</v>
      </c>
      <c r="G62" s="7">
        <f t="shared" si="10"/>
        <v>4</v>
      </c>
      <c r="H62" s="7" t="s">
        <v>3</v>
      </c>
    </row>
    <row r="63" spans="1:8" s="10" customFormat="1" x14ac:dyDescent="0.25">
      <c r="A63" s="2">
        <v>6</v>
      </c>
      <c r="B63" s="12" t="s">
        <v>103</v>
      </c>
      <c r="C63" s="13" t="s">
        <v>4</v>
      </c>
      <c r="D63" s="24" t="s">
        <v>40</v>
      </c>
      <c r="E63" s="13">
        <v>1</v>
      </c>
      <c r="F63" s="13">
        <v>1</v>
      </c>
      <c r="G63" s="7">
        <f t="shared" si="10"/>
        <v>1</v>
      </c>
      <c r="H63" s="7" t="s">
        <v>3</v>
      </c>
    </row>
    <row r="64" spans="1:8" s="10" customFormat="1" x14ac:dyDescent="0.25">
      <c r="A64" s="2">
        <v>7</v>
      </c>
      <c r="B64" s="12" t="s">
        <v>60</v>
      </c>
      <c r="C64" s="13" t="s">
        <v>4</v>
      </c>
      <c r="D64" s="24" t="s">
        <v>40</v>
      </c>
      <c r="E64" s="13">
        <v>4</v>
      </c>
      <c r="F64" s="13">
        <v>1</v>
      </c>
      <c r="G64" s="7">
        <f t="shared" ref="G64:G65" si="12">E64*F64</f>
        <v>4</v>
      </c>
      <c r="H64" s="7" t="s">
        <v>3</v>
      </c>
    </row>
    <row r="65" spans="1:8" s="10" customFormat="1" x14ac:dyDescent="0.25">
      <c r="A65" s="2">
        <v>8</v>
      </c>
      <c r="B65" s="12" t="s">
        <v>100</v>
      </c>
      <c r="C65" s="13" t="s">
        <v>4</v>
      </c>
      <c r="D65" s="24" t="s">
        <v>40</v>
      </c>
      <c r="E65" s="13">
        <v>1</v>
      </c>
      <c r="F65" s="13">
        <v>1</v>
      </c>
      <c r="G65" s="7">
        <f t="shared" si="12"/>
        <v>1</v>
      </c>
      <c r="H65" s="7" t="s">
        <v>3</v>
      </c>
    </row>
    <row r="66" spans="1:8" s="10" customFormat="1" x14ac:dyDescent="0.25">
      <c r="A66" s="2">
        <v>9</v>
      </c>
      <c r="B66" s="12" t="s">
        <v>101</v>
      </c>
      <c r="C66" s="13" t="s">
        <v>4</v>
      </c>
      <c r="D66" s="24" t="s">
        <v>40</v>
      </c>
      <c r="E66" s="13">
        <v>1</v>
      </c>
      <c r="F66" s="13">
        <v>1</v>
      </c>
      <c r="G66" s="7">
        <f t="shared" si="10"/>
        <v>1</v>
      </c>
      <c r="H66" s="7" t="s">
        <v>3</v>
      </c>
    </row>
    <row r="67" spans="1:8" s="9" customFormat="1" x14ac:dyDescent="0.25">
      <c r="A67" s="2">
        <v>10</v>
      </c>
      <c r="B67" s="15" t="s">
        <v>27</v>
      </c>
      <c r="C67" s="16" t="s">
        <v>4</v>
      </c>
      <c r="D67" s="13" t="s">
        <v>28</v>
      </c>
      <c r="E67" s="16">
        <v>6</v>
      </c>
      <c r="F67" s="13">
        <v>1</v>
      </c>
      <c r="G67" s="14">
        <f t="shared" si="10"/>
        <v>6</v>
      </c>
      <c r="H67" s="14" t="s">
        <v>3</v>
      </c>
    </row>
    <row r="68" spans="1:8" s="10" customFormat="1" x14ac:dyDescent="0.25">
      <c r="A68" s="2">
        <v>11</v>
      </c>
      <c r="B68" s="12" t="s">
        <v>102</v>
      </c>
      <c r="C68" s="13" t="s">
        <v>18</v>
      </c>
      <c r="D68" s="24" t="s">
        <v>40</v>
      </c>
      <c r="E68" s="13">
        <v>2</v>
      </c>
      <c r="F68" s="13">
        <v>1</v>
      </c>
      <c r="G68" s="7">
        <f t="shared" si="10"/>
        <v>2</v>
      </c>
      <c r="H68" s="7" t="s">
        <v>3</v>
      </c>
    </row>
    <row r="69" spans="1:8" s="10" customFormat="1" x14ac:dyDescent="0.25">
      <c r="A69" s="2">
        <v>12</v>
      </c>
      <c r="B69" s="12" t="s">
        <v>56</v>
      </c>
      <c r="C69" s="13" t="s">
        <v>15</v>
      </c>
      <c r="D69" s="24" t="s">
        <v>40</v>
      </c>
      <c r="E69" s="13">
        <v>3</v>
      </c>
      <c r="F69" s="13">
        <v>2</v>
      </c>
      <c r="G69" s="7">
        <f t="shared" si="10"/>
        <v>6</v>
      </c>
      <c r="H69" s="7" t="s">
        <v>3</v>
      </c>
    </row>
    <row r="70" spans="1:8" s="10" customFormat="1" x14ac:dyDescent="0.25">
      <c r="A70" s="2">
        <v>13</v>
      </c>
      <c r="B70" s="12" t="s">
        <v>55</v>
      </c>
      <c r="C70" s="13" t="s">
        <v>16</v>
      </c>
      <c r="D70" s="24" t="s">
        <v>40</v>
      </c>
      <c r="E70" s="13">
        <v>1</v>
      </c>
      <c r="F70" s="13">
        <v>1</v>
      </c>
      <c r="G70" s="7">
        <f t="shared" si="10"/>
        <v>1</v>
      </c>
      <c r="H70" s="7" t="s">
        <v>33</v>
      </c>
    </row>
    <row r="71" spans="1:8" s="9" customFormat="1" ht="15.75" x14ac:dyDescent="0.25">
      <c r="A71" s="6">
        <v>6</v>
      </c>
      <c r="B71" s="4" t="s">
        <v>106</v>
      </c>
      <c r="C71" s="35"/>
      <c r="D71" s="35"/>
      <c r="E71" s="17">
        <v>1</v>
      </c>
      <c r="F71" s="17">
        <v>1</v>
      </c>
      <c r="G71" s="5">
        <f t="shared" ref="G71:G77" si="13">E71*F71</f>
        <v>1</v>
      </c>
      <c r="H71" s="5" t="s">
        <v>3</v>
      </c>
    </row>
    <row r="72" spans="1:8" s="10" customFormat="1" x14ac:dyDescent="0.25">
      <c r="A72" s="2">
        <v>1</v>
      </c>
      <c r="B72" s="12" t="s">
        <v>59</v>
      </c>
      <c r="C72" s="13" t="s">
        <v>24</v>
      </c>
      <c r="D72" s="24" t="s">
        <v>25</v>
      </c>
      <c r="E72" s="13">
        <v>2</v>
      </c>
      <c r="F72" s="13">
        <v>1</v>
      </c>
      <c r="G72" s="7">
        <f t="shared" si="13"/>
        <v>2</v>
      </c>
      <c r="H72" s="7" t="s">
        <v>3</v>
      </c>
    </row>
    <row r="73" spans="1:8" s="10" customFormat="1" x14ac:dyDescent="0.25">
      <c r="A73" s="2">
        <v>2</v>
      </c>
      <c r="B73" s="12" t="s">
        <v>60</v>
      </c>
      <c r="C73" s="13" t="s">
        <v>4</v>
      </c>
      <c r="D73" s="24" t="s">
        <v>40</v>
      </c>
      <c r="E73" s="13">
        <v>2</v>
      </c>
      <c r="F73" s="13">
        <v>1</v>
      </c>
      <c r="G73" s="7">
        <f t="shared" si="13"/>
        <v>2</v>
      </c>
      <c r="H73" s="7" t="s">
        <v>3</v>
      </c>
    </row>
    <row r="74" spans="1:8" s="9" customFormat="1" x14ac:dyDescent="0.25">
      <c r="A74" s="2">
        <v>3</v>
      </c>
      <c r="B74" s="15" t="s">
        <v>27</v>
      </c>
      <c r="C74" s="16" t="s">
        <v>4</v>
      </c>
      <c r="D74" s="13" t="s">
        <v>28</v>
      </c>
      <c r="E74" s="16">
        <v>2</v>
      </c>
      <c r="F74" s="13">
        <v>1</v>
      </c>
      <c r="G74" s="14">
        <f t="shared" si="13"/>
        <v>2</v>
      </c>
      <c r="H74" s="14" t="s">
        <v>3</v>
      </c>
    </row>
    <row r="75" spans="1:8" s="10" customFormat="1" x14ac:dyDescent="0.25">
      <c r="A75" s="2">
        <v>4</v>
      </c>
      <c r="B75" s="12" t="s">
        <v>61</v>
      </c>
      <c r="C75" s="13" t="s">
        <v>15</v>
      </c>
      <c r="D75" s="24" t="s">
        <v>40</v>
      </c>
      <c r="E75" s="13">
        <v>8</v>
      </c>
      <c r="F75" s="13">
        <v>2</v>
      </c>
      <c r="G75" s="7">
        <f t="shared" ref="G75" si="14">E75*F75</f>
        <v>16</v>
      </c>
      <c r="H75" s="7" t="s">
        <v>3</v>
      </c>
    </row>
    <row r="76" spans="1:8" s="10" customFormat="1" x14ac:dyDescent="0.25">
      <c r="A76" s="2">
        <v>5</v>
      </c>
      <c r="B76" s="12" t="s">
        <v>62</v>
      </c>
      <c r="C76" s="13" t="s">
        <v>15</v>
      </c>
      <c r="D76" s="24" t="s">
        <v>40</v>
      </c>
      <c r="E76" s="13">
        <v>6</v>
      </c>
      <c r="F76" s="13">
        <v>1</v>
      </c>
      <c r="G76" s="7">
        <f t="shared" si="13"/>
        <v>6</v>
      </c>
      <c r="H76" s="7" t="s">
        <v>3</v>
      </c>
    </row>
    <row r="77" spans="1:8" s="10" customFormat="1" x14ac:dyDescent="0.25">
      <c r="A77" s="2">
        <v>6</v>
      </c>
      <c r="B77" s="12" t="s">
        <v>55</v>
      </c>
      <c r="C77" s="13" t="s">
        <v>16</v>
      </c>
      <c r="D77" s="24" t="s">
        <v>40</v>
      </c>
      <c r="E77" s="13">
        <v>1</v>
      </c>
      <c r="F77" s="13">
        <v>1</v>
      </c>
      <c r="G77" s="7">
        <f t="shared" si="13"/>
        <v>1</v>
      </c>
      <c r="H77" s="7" t="s">
        <v>33</v>
      </c>
    </row>
    <row r="78" spans="1:8" s="32" customFormat="1" ht="21" x14ac:dyDescent="0.25">
      <c r="A78" s="36" t="s">
        <v>32</v>
      </c>
      <c r="B78" s="37"/>
      <c r="C78" s="37"/>
      <c r="D78" s="37"/>
      <c r="E78" s="37"/>
      <c r="F78" s="37"/>
      <c r="G78" s="37"/>
      <c r="H78" s="38"/>
    </row>
    <row r="79" spans="1:8" s="11" customFormat="1" ht="15.75" x14ac:dyDescent="0.25">
      <c r="A79" s="6">
        <v>1</v>
      </c>
      <c r="B79" s="31" t="s">
        <v>34</v>
      </c>
      <c r="C79" s="35"/>
      <c r="D79" s="35"/>
      <c r="E79" s="17">
        <v>1</v>
      </c>
      <c r="F79" s="17">
        <v>1</v>
      </c>
      <c r="G79" s="5">
        <f t="shared" ref="G79:G93" si="15">E79*F79</f>
        <v>1</v>
      </c>
      <c r="H79" s="5" t="s">
        <v>33</v>
      </c>
    </row>
    <row r="80" spans="1:8" s="9" customFormat="1" x14ac:dyDescent="0.25">
      <c r="A80" s="16">
        <v>1</v>
      </c>
      <c r="B80" s="15" t="s">
        <v>63</v>
      </c>
      <c r="C80" s="16" t="s">
        <v>64</v>
      </c>
      <c r="D80" s="24" t="s">
        <v>40</v>
      </c>
      <c r="E80" s="16">
        <v>1</v>
      </c>
      <c r="F80" s="16">
        <v>1</v>
      </c>
      <c r="G80" s="33">
        <f t="shared" ref="G80:G82" si="16">E80*F80</f>
        <v>1</v>
      </c>
      <c r="H80" s="33" t="s">
        <v>3</v>
      </c>
    </row>
    <row r="81" spans="1:8" s="9" customFormat="1" x14ac:dyDescent="0.25">
      <c r="A81" s="16">
        <v>2</v>
      </c>
      <c r="B81" s="15" t="s">
        <v>37</v>
      </c>
      <c r="C81" s="16" t="s">
        <v>74</v>
      </c>
      <c r="D81" s="24" t="s">
        <v>40</v>
      </c>
      <c r="E81" s="16">
        <v>1</v>
      </c>
      <c r="F81" s="16">
        <v>1</v>
      </c>
      <c r="G81" s="33">
        <f t="shared" si="16"/>
        <v>1</v>
      </c>
      <c r="H81" s="33" t="s">
        <v>3</v>
      </c>
    </row>
    <row r="82" spans="1:8" s="9" customFormat="1" x14ac:dyDescent="0.25">
      <c r="A82" s="16">
        <v>3</v>
      </c>
      <c r="B82" s="15" t="s">
        <v>76</v>
      </c>
      <c r="C82" s="16" t="s">
        <v>4</v>
      </c>
      <c r="D82" s="24" t="s">
        <v>40</v>
      </c>
      <c r="E82" s="16">
        <v>1</v>
      </c>
      <c r="F82" s="16">
        <v>1</v>
      </c>
      <c r="G82" s="33">
        <f t="shared" si="16"/>
        <v>1</v>
      </c>
      <c r="H82" s="33" t="s">
        <v>3</v>
      </c>
    </row>
    <row r="83" spans="1:8" s="9" customFormat="1" x14ac:dyDescent="0.25">
      <c r="A83" s="16">
        <v>4</v>
      </c>
      <c r="B83" s="15" t="s">
        <v>77</v>
      </c>
      <c r="C83" s="16" t="s">
        <v>4</v>
      </c>
      <c r="D83" s="24" t="s">
        <v>40</v>
      </c>
      <c r="E83" s="16">
        <v>1</v>
      </c>
      <c r="F83" s="16">
        <v>1</v>
      </c>
      <c r="G83" s="33">
        <f t="shared" si="15"/>
        <v>1</v>
      </c>
      <c r="H83" s="33" t="s">
        <v>3</v>
      </c>
    </row>
    <row r="84" spans="1:8" s="9" customFormat="1" x14ac:dyDescent="0.25">
      <c r="A84" s="16">
        <v>5</v>
      </c>
      <c r="B84" s="15" t="s">
        <v>27</v>
      </c>
      <c r="C84" s="16" t="s">
        <v>4</v>
      </c>
      <c r="D84" s="13" t="s">
        <v>28</v>
      </c>
      <c r="E84" s="16">
        <v>1</v>
      </c>
      <c r="F84" s="13">
        <v>1</v>
      </c>
      <c r="G84" s="14">
        <f t="shared" ref="G84" si="17">E84*F84</f>
        <v>1</v>
      </c>
      <c r="H84" s="14" t="s">
        <v>3</v>
      </c>
    </row>
    <row r="85" spans="1:8" s="9" customFormat="1" x14ac:dyDescent="0.25">
      <c r="A85" s="16">
        <v>6</v>
      </c>
      <c r="B85" s="15" t="s">
        <v>29</v>
      </c>
      <c r="C85" s="16" t="s">
        <v>4</v>
      </c>
      <c r="D85" s="13" t="s">
        <v>30</v>
      </c>
      <c r="E85" s="16">
        <v>1</v>
      </c>
      <c r="F85" s="13">
        <v>1</v>
      </c>
      <c r="G85" s="14">
        <f t="shared" si="15"/>
        <v>1</v>
      </c>
      <c r="H85" s="14" t="s">
        <v>3</v>
      </c>
    </row>
    <row r="86" spans="1:8" s="10" customFormat="1" x14ac:dyDescent="0.25">
      <c r="A86" s="16">
        <v>7</v>
      </c>
      <c r="B86" s="12" t="s">
        <v>65</v>
      </c>
      <c r="C86" s="13" t="s">
        <v>15</v>
      </c>
      <c r="D86" s="24" t="s">
        <v>40</v>
      </c>
      <c r="E86" s="13">
        <v>5</v>
      </c>
      <c r="F86" s="27">
        <v>1</v>
      </c>
      <c r="G86" s="7">
        <f t="shared" si="15"/>
        <v>5</v>
      </c>
      <c r="H86" s="7" t="s">
        <v>3</v>
      </c>
    </row>
    <row r="87" spans="1:8" s="10" customFormat="1" x14ac:dyDescent="0.25">
      <c r="A87" s="16">
        <v>8</v>
      </c>
      <c r="B87" s="12" t="s">
        <v>66</v>
      </c>
      <c r="C87" s="13" t="s">
        <v>15</v>
      </c>
      <c r="D87" s="24" t="s">
        <v>40</v>
      </c>
      <c r="E87" s="13">
        <v>5</v>
      </c>
      <c r="F87" s="27">
        <f>F79</f>
        <v>1</v>
      </c>
      <c r="G87" s="7">
        <f t="shared" si="15"/>
        <v>5</v>
      </c>
      <c r="H87" s="7" t="s">
        <v>3</v>
      </c>
    </row>
    <row r="88" spans="1:8" s="11" customFormat="1" ht="15.75" x14ac:dyDescent="0.25">
      <c r="A88" s="6">
        <v>2</v>
      </c>
      <c r="B88" s="31" t="s">
        <v>110</v>
      </c>
      <c r="C88" s="35"/>
      <c r="D88" s="35"/>
      <c r="E88" s="17">
        <v>1</v>
      </c>
      <c r="F88" s="17">
        <v>1</v>
      </c>
      <c r="G88" s="5">
        <f t="shared" si="15"/>
        <v>1</v>
      </c>
      <c r="H88" s="5" t="s">
        <v>33</v>
      </c>
    </row>
    <row r="89" spans="1:8" s="8" customFormat="1" x14ac:dyDescent="0.25">
      <c r="A89" s="34">
        <v>1</v>
      </c>
      <c r="B89" s="15" t="s">
        <v>67</v>
      </c>
      <c r="C89" s="16" t="s">
        <v>68</v>
      </c>
      <c r="D89" s="16" t="s">
        <v>113</v>
      </c>
      <c r="E89" s="16">
        <v>1</v>
      </c>
      <c r="F89" s="16">
        <v>1</v>
      </c>
      <c r="G89" s="14">
        <f t="shared" ref="G89:G92" si="18">E89*F89</f>
        <v>1</v>
      </c>
      <c r="H89" s="14" t="s">
        <v>3</v>
      </c>
    </row>
    <row r="90" spans="1:8" s="8" customFormat="1" x14ac:dyDescent="0.25">
      <c r="A90" s="34">
        <v>2</v>
      </c>
      <c r="B90" s="15" t="s">
        <v>69</v>
      </c>
      <c r="C90" s="16" t="s">
        <v>68</v>
      </c>
      <c r="D90" s="16" t="s">
        <v>70</v>
      </c>
      <c r="E90" s="16">
        <v>1</v>
      </c>
      <c r="F90" s="16">
        <v>1</v>
      </c>
      <c r="G90" s="14">
        <f t="shared" ref="G90" si="19">E90*F90</f>
        <v>1</v>
      </c>
      <c r="H90" s="14" t="s">
        <v>3</v>
      </c>
    </row>
    <row r="91" spans="1:8" s="8" customFormat="1" x14ac:dyDescent="0.25">
      <c r="A91" s="34">
        <v>3</v>
      </c>
      <c r="B91" s="15" t="s">
        <v>107</v>
      </c>
      <c r="C91" s="16" t="s">
        <v>68</v>
      </c>
      <c r="D91" s="16" t="s">
        <v>108</v>
      </c>
      <c r="E91" s="16">
        <v>1</v>
      </c>
      <c r="F91" s="16">
        <v>1</v>
      </c>
      <c r="G91" s="14">
        <f t="shared" si="18"/>
        <v>1</v>
      </c>
      <c r="H91" s="14" t="s">
        <v>3</v>
      </c>
    </row>
    <row r="92" spans="1:8" s="8" customFormat="1" x14ac:dyDescent="0.25">
      <c r="A92" s="34">
        <v>4</v>
      </c>
      <c r="B92" s="15" t="s">
        <v>71</v>
      </c>
      <c r="C92" s="16" t="s">
        <v>68</v>
      </c>
      <c r="D92" s="16" t="s">
        <v>112</v>
      </c>
      <c r="E92" s="16">
        <v>1</v>
      </c>
      <c r="F92" s="16">
        <v>1</v>
      </c>
      <c r="G92" s="14">
        <f t="shared" si="18"/>
        <v>1</v>
      </c>
      <c r="H92" s="14" t="s">
        <v>3</v>
      </c>
    </row>
    <row r="93" spans="1:8" s="8" customFormat="1" x14ac:dyDescent="0.25">
      <c r="A93" s="34">
        <v>5</v>
      </c>
      <c r="B93" s="15" t="s">
        <v>72</v>
      </c>
      <c r="C93" s="16" t="s">
        <v>68</v>
      </c>
      <c r="D93" s="16" t="s">
        <v>73</v>
      </c>
      <c r="E93" s="16">
        <v>1</v>
      </c>
      <c r="F93" s="16">
        <v>1</v>
      </c>
      <c r="G93" s="14">
        <f t="shared" si="15"/>
        <v>1</v>
      </c>
      <c r="H93" s="14" t="s">
        <v>3</v>
      </c>
    </row>
    <row r="94" spans="1:8" s="11" customFormat="1" ht="15.75" x14ac:dyDescent="0.25">
      <c r="A94" s="6">
        <v>3</v>
      </c>
      <c r="B94" s="31" t="s">
        <v>35</v>
      </c>
      <c r="C94" s="35"/>
      <c r="D94" s="35"/>
      <c r="E94" s="17">
        <v>1</v>
      </c>
      <c r="F94" s="17">
        <v>1</v>
      </c>
      <c r="G94" s="5">
        <f t="shared" ref="G94" si="20">E94*F94</f>
        <v>1</v>
      </c>
      <c r="H94" s="5" t="s">
        <v>33</v>
      </c>
    </row>
    <row r="95" spans="1:8" s="9" customFormat="1" x14ac:dyDescent="0.25">
      <c r="A95" s="2">
        <v>1</v>
      </c>
      <c r="B95" s="15" t="s">
        <v>36</v>
      </c>
      <c r="C95" s="16" t="s">
        <v>18</v>
      </c>
      <c r="D95" s="13" t="s">
        <v>40</v>
      </c>
      <c r="E95" s="16">
        <v>2</v>
      </c>
      <c r="F95" s="16">
        <v>1</v>
      </c>
      <c r="G95" s="14">
        <f>E95*F95</f>
        <v>2</v>
      </c>
      <c r="H95" s="14" t="s">
        <v>3</v>
      </c>
    </row>
    <row r="96" spans="1:8" s="9" customFormat="1" x14ac:dyDescent="0.25">
      <c r="A96" s="2">
        <v>2</v>
      </c>
      <c r="B96" s="15" t="s">
        <v>75</v>
      </c>
      <c r="C96" s="16" t="s">
        <v>18</v>
      </c>
      <c r="D96" s="13" t="s">
        <v>40</v>
      </c>
      <c r="E96" s="16">
        <v>1</v>
      </c>
      <c r="F96" s="16">
        <v>1</v>
      </c>
      <c r="G96" s="14">
        <f>E96*F96</f>
        <v>1</v>
      </c>
      <c r="H96" s="14" t="s">
        <v>3</v>
      </c>
    </row>
    <row r="97" spans="1:8" s="10" customFormat="1" x14ac:dyDescent="0.25">
      <c r="A97" s="2">
        <v>3</v>
      </c>
      <c r="B97" s="12" t="s">
        <v>66</v>
      </c>
      <c r="C97" s="13" t="s">
        <v>15</v>
      </c>
      <c r="D97" s="24" t="s">
        <v>40</v>
      </c>
      <c r="E97" s="13">
        <v>40</v>
      </c>
      <c r="F97" s="27">
        <f>F88</f>
        <v>1</v>
      </c>
      <c r="G97" s="7">
        <f t="shared" ref="G97" si="21">E97*F97</f>
        <v>40</v>
      </c>
      <c r="H97" s="7" t="s">
        <v>3</v>
      </c>
    </row>
    <row r="98" spans="1:8" s="9" customFormat="1" x14ac:dyDescent="0.25">
      <c r="A98"/>
      <c r="B98"/>
      <c r="C98"/>
      <c r="D98"/>
      <c r="E98"/>
      <c r="F98"/>
      <c r="G98"/>
      <c r="H98" s="19"/>
    </row>
  </sheetData>
  <autoFilter ref="C1:C98" xr:uid="{A022CC6D-BE32-4950-8FED-E255AD04C3ED}"/>
  <mergeCells count="13">
    <mergeCell ref="C94:D94"/>
    <mergeCell ref="C88:D88"/>
    <mergeCell ref="A78:H78"/>
    <mergeCell ref="C79:D79"/>
    <mergeCell ref="A1:H1"/>
    <mergeCell ref="C3:D3"/>
    <mergeCell ref="A24:H24"/>
    <mergeCell ref="C33:D33"/>
    <mergeCell ref="C57:D57"/>
    <mergeCell ref="C41:D41"/>
    <mergeCell ref="C49:D49"/>
    <mergeCell ref="C71:D71"/>
    <mergeCell ref="C25:D25"/>
  </mergeCells>
  <pageMargins left="0.7" right="0.7" top="0.75" bottom="0.75" header="0.3" footer="0.3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CUM PLC PANEL</vt:lpstr>
      <vt:lpstr>'POWER CUM PLC PANEL'!Print_Area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2025-10-08T12:16:34Z</dcterms:modified>
</cp:coreProperties>
</file>