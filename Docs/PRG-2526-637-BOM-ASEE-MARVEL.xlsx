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8_{50767604-A51C-4D68-9899-A27F02D65A8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OM-637-MCC+PLC PANEL" sheetId="30" r:id="rId1"/>
  </sheets>
  <definedNames>
    <definedName name="_xlnm.Print_Area" localSheetId="0">'BOM-637-MCC+PLC PANEL'!$A$1:$H$120</definedName>
  </definedNames>
  <calcPr calcId="181029"/>
</workbook>
</file>

<file path=xl/calcChain.xml><?xml version="1.0" encoding="utf-8"?>
<calcChain xmlns="http://schemas.openxmlformats.org/spreadsheetml/2006/main">
  <c r="G116" i="30" l="1"/>
  <c r="G115" i="30"/>
  <c r="G114" i="30"/>
  <c r="G118" i="30"/>
  <c r="G82" i="30"/>
  <c r="G104" i="30"/>
  <c r="G103" i="30"/>
  <c r="G105" i="30"/>
  <c r="G84" i="30"/>
  <c r="G10" i="30" l="1"/>
  <c r="G11" i="30"/>
  <c r="G12" i="30"/>
  <c r="G13" i="30"/>
  <c r="G14" i="30"/>
  <c r="G15" i="30"/>
  <c r="G16" i="30"/>
  <c r="G17" i="30"/>
  <c r="G18" i="30"/>
  <c r="G19" i="30"/>
  <c r="G20" i="30"/>
  <c r="G21" i="30"/>
  <c r="G22" i="30"/>
  <c r="G23" i="30"/>
  <c r="G24" i="30"/>
  <c r="G25" i="30"/>
  <c r="G26" i="30"/>
  <c r="G27" i="30"/>
  <c r="G28" i="30"/>
  <c r="G29" i="30"/>
  <c r="G30" i="30"/>
  <c r="G31" i="30"/>
  <c r="G32" i="30"/>
  <c r="G33" i="30"/>
  <c r="G34" i="30"/>
  <c r="G35" i="30"/>
  <c r="G101" i="30"/>
  <c r="G111" i="30"/>
  <c r="G102" i="30"/>
  <c r="G100" i="30"/>
  <c r="G99" i="30"/>
  <c r="G98" i="30"/>
  <c r="G63" i="30" l="1"/>
  <c r="G62" i="30"/>
  <c r="G61" i="30"/>
  <c r="G60" i="30"/>
  <c r="G59" i="30"/>
  <c r="G58" i="30"/>
  <c r="G57" i="30"/>
  <c r="G56" i="30" l="1"/>
  <c r="G55" i="30"/>
  <c r="G54" i="30"/>
  <c r="G53" i="30"/>
  <c r="G52" i="30"/>
  <c r="G51" i="30"/>
  <c r="G50" i="30"/>
  <c r="G117" i="30"/>
  <c r="G119" i="30"/>
  <c r="G120" i="30"/>
  <c r="G110" i="30"/>
  <c r="G113" i="30"/>
  <c r="G112" i="30"/>
  <c r="G109" i="30"/>
  <c r="G108" i="30"/>
  <c r="G72" i="30"/>
  <c r="G42" i="30"/>
  <c r="G41" i="30"/>
  <c r="G40" i="30"/>
  <c r="G39" i="30"/>
  <c r="G38" i="30"/>
  <c r="G37" i="30"/>
  <c r="G36" i="30"/>
  <c r="G44" i="30"/>
  <c r="G86" i="30"/>
  <c r="G75" i="30"/>
  <c r="G74" i="30"/>
  <c r="G46" i="30"/>
  <c r="G47" i="30"/>
  <c r="G94" i="30"/>
  <c r="G93" i="30"/>
  <c r="G67" i="30"/>
  <c r="G9" i="30" l="1"/>
  <c r="G8" i="30"/>
  <c r="G89" i="30" l="1"/>
  <c r="G88" i="30"/>
  <c r="G87" i="30"/>
  <c r="G85" i="30"/>
  <c r="G83" i="30"/>
  <c r="G81" i="30"/>
  <c r="G80" i="30"/>
  <c r="G79" i="30"/>
  <c r="G78" i="30"/>
  <c r="G77" i="30"/>
  <c r="G76" i="30"/>
  <c r="G73" i="30"/>
  <c r="G71" i="30"/>
  <c r="G49" i="30"/>
  <c r="G48" i="30"/>
  <c r="G45" i="30"/>
  <c r="G43" i="30"/>
  <c r="G96" i="30"/>
  <c r="G95" i="30"/>
  <c r="G92" i="30"/>
  <c r="G91" i="30"/>
  <c r="G90" i="30"/>
  <c r="G70" i="30"/>
  <c r="G69" i="30"/>
  <c r="G68" i="30"/>
  <c r="G66" i="30"/>
  <c r="G65" i="30"/>
  <c r="G64" i="30"/>
</calcChain>
</file>

<file path=xl/sharedStrings.xml><?xml version="1.0" encoding="utf-8"?>
<sst xmlns="http://schemas.openxmlformats.org/spreadsheetml/2006/main" count="394" uniqueCount="154">
  <si>
    <t>Issued For Approval</t>
  </si>
  <si>
    <t>PREPARED BY</t>
  </si>
  <si>
    <t>CHECKED BY</t>
  </si>
  <si>
    <t>MAKE</t>
  </si>
  <si>
    <t>PART NO</t>
  </si>
  <si>
    <t>UOM</t>
  </si>
  <si>
    <t>Nos.</t>
  </si>
  <si>
    <t>Teknic</t>
  </si>
  <si>
    <t>STD.</t>
  </si>
  <si>
    <t>Red Indication Lamp, 230VAC supply voltage</t>
  </si>
  <si>
    <t>Yellow Indication Lamp, 230VAC supply voltage</t>
  </si>
  <si>
    <t>Blue Indication Lamp, 230VAC supply voltage</t>
  </si>
  <si>
    <t>ITEM
 QTY</t>
  </si>
  <si>
    <t>FDR
 QTY</t>
  </si>
  <si>
    <t>TOTAL
 QTY</t>
  </si>
  <si>
    <t>ITEM DESCRIPTIONS</t>
  </si>
  <si>
    <t>SR NO.</t>
  </si>
  <si>
    <t>A</t>
  </si>
  <si>
    <t>Elmex</t>
  </si>
  <si>
    <t>Polycab</t>
  </si>
  <si>
    <t>Power contactor 3P,25Amp with coil voltage 230VAC</t>
  </si>
  <si>
    <t>S/D timer 0-60 Sec</t>
  </si>
  <si>
    <t>3PLBR4L</t>
  </si>
  <si>
    <t>3PLBR8L</t>
  </si>
  <si>
    <t>3PLBR6L</t>
  </si>
  <si>
    <t>GIC</t>
  </si>
  <si>
    <t>Power terminals 6Sq.mm, RYB</t>
  </si>
  <si>
    <t>Power cable 2.5Sq.mm, RYB</t>
  </si>
  <si>
    <t xml:space="preserve">6A, 3P, 10kA, C-Curve MCB, </t>
  </si>
  <si>
    <t>Power contactor 3P,9Amp with coil voltage 230VAC</t>
  </si>
  <si>
    <t>Power cable 10 Sq.mm, RYB</t>
  </si>
  <si>
    <t>Power cable 6Sq.mm, RYB</t>
  </si>
  <si>
    <t>Power cable 10Sq.mm, RYB</t>
  </si>
  <si>
    <t>LC1D09</t>
  </si>
  <si>
    <t>LRD07</t>
  </si>
  <si>
    <t>Schneider</t>
  </si>
  <si>
    <t>LRD08</t>
  </si>
  <si>
    <t>Overload Relay 2.5-4A</t>
  </si>
  <si>
    <t>LC1D25</t>
  </si>
  <si>
    <t>LRD21</t>
  </si>
  <si>
    <t>LRD14</t>
  </si>
  <si>
    <t xml:space="preserve">Overload Relay 12-18 Amp </t>
  </si>
  <si>
    <t>Sahara</t>
  </si>
  <si>
    <t>Lot</t>
  </si>
  <si>
    <t>LRD10</t>
  </si>
  <si>
    <t>A9N3P06C</t>
  </si>
  <si>
    <t>Overload Relay 1.6-2.5A</t>
  </si>
  <si>
    <t>A9N2P06C</t>
  </si>
  <si>
    <t>LC1D18</t>
  </si>
  <si>
    <t>Power contactor 3P,40Amp with coil voltage 230VAC (M+D)</t>
  </si>
  <si>
    <t>LC1D40A</t>
  </si>
  <si>
    <t>LRD06</t>
  </si>
  <si>
    <t>Overload Relay 7-10A</t>
  </si>
  <si>
    <t>REV-R0</t>
  </si>
  <si>
    <t>Overload Relay 1-1.6A</t>
  </si>
  <si>
    <t xml:space="preserve">DOCUMENT NO:- </t>
  </si>
  <si>
    <t>Selec</t>
  </si>
  <si>
    <t>6A, 3P, 10kA, C-Curve MCB</t>
  </si>
  <si>
    <t>10A, 3P, 10kA, C-Curve MCB</t>
  </si>
  <si>
    <t>A9N3P10C</t>
  </si>
  <si>
    <t>16A, 3P, 10kA, C-Curve MCB</t>
  </si>
  <si>
    <r>
      <rPr>
        <sz val="11"/>
        <rFont val="Calibri"/>
        <family val="1"/>
      </rPr>
      <t>Schneider</t>
    </r>
  </si>
  <si>
    <r>
      <rPr>
        <sz val="11"/>
        <rFont val="Calibri"/>
        <family val="1"/>
      </rPr>
      <t>Nos.</t>
    </r>
  </si>
  <si>
    <t>6A,2P, 10kA, C-Curve MCB</t>
  </si>
  <si>
    <t>10A, 2P, 10kA, C-Curve MCB</t>
  </si>
  <si>
    <t>A9N2P10C</t>
  </si>
  <si>
    <t>Door Limit Switch</t>
  </si>
  <si>
    <t>Kaycee</t>
  </si>
  <si>
    <t>Oreva</t>
  </si>
  <si>
    <t>Rexnord</t>
  </si>
  <si>
    <t>Air Filter 6"</t>
  </si>
  <si>
    <t>Ellettro</t>
  </si>
  <si>
    <t>Utility Socket 230VAC,5Amp</t>
  </si>
  <si>
    <t>Anchor</t>
  </si>
  <si>
    <t>Meanwell</t>
  </si>
  <si>
    <t>-</t>
  </si>
  <si>
    <t>TB flag</t>
  </si>
  <si>
    <t>Stopper</t>
  </si>
  <si>
    <t>End plate</t>
  </si>
  <si>
    <t>Digital MFM-With RS 485 Communication</t>
  </si>
  <si>
    <t>CTTB</t>
  </si>
  <si>
    <t>Overload Relay 4-6A</t>
  </si>
  <si>
    <t>DOL FEEDER 0.18 KW 1 NOS</t>
  </si>
  <si>
    <t>Overload Relay (0.4-0.63A)</t>
  </si>
  <si>
    <t>LRD04</t>
  </si>
  <si>
    <t xml:space="preserve"> A9N3P16C</t>
  </si>
  <si>
    <t xml:space="preserve">MCB 3P, 63AMP </t>
  </si>
  <si>
    <t>Power contactor 3P,18Amp with coil voltage 230VAC (S)</t>
  </si>
  <si>
    <t>L/R 3 Position ILSW</t>
  </si>
  <si>
    <t>Power terminals 16Sq.mm,</t>
  </si>
  <si>
    <t>S/D FEEDER 15 KW  2 NOS</t>
  </si>
  <si>
    <t xml:space="preserve"> A9N3P63C</t>
  </si>
  <si>
    <t>DOL FEEDER 0.75 KW 2 NOS</t>
  </si>
  <si>
    <t xml:space="preserve"> LV510335 </t>
  </si>
  <si>
    <t>FTB for RYB indication 2A</t>
  </si>
  <si>
    <t>Fuse TB  6A</t>
  </si>
  <si>
    <t>MAIN INCOMER, MCCB 3P,63 AMP</t>
  </si>
  <si>
    <t xml:space="preserve">SMPS 10 Amp, 24VDC </t>
  </si>
  <si>
    <t>DBK</t>
  </si>
  <si>
    <t>Power terminals 16Sq.mm, RYB</t>
  </si>
  <si>
    <t xml:space="preserve">TB Marker </t>
  </si>
  <si>
    <t>Hooter</t>
  </si>
  <si>
    <t>PLC SECTION</t>
  </si>
  <si>
    <t>PLC CPU DVP-SA, 8 DI/4DO</t>
  </si>
  <si>
    <t>Delta</t>
  </si>
  <si>
    <t>Digital Input  Module 16 DI CARD</t>
  </si>
  <si>
    <t xml:space="preserve">Relay Board 4 Channel 1c/o </t>
  </si>
  <si>
    <t xml:space="preserve">Relay Board 8 Channel 1c/o </t>
  </si>
  <si>
    <t>Analog Input  Module  4 AI CARD</t>
  </si>
  <si>
    <t>Digital Output  Module 16 DO CARD</t>
  </si>
  <si>
    <t>Tubelight 230VAC,5W</t>
  </si>
  <si>
    <t xml:space="preserve">CLIENT:- </t>
  </si>
  <si>
    <t>PROJECT:- PRG-2526-637-ASEE-MARVEL-375KLD PLC+MCC</t>
  </si>
  <si>
    <t>DOL FEEDER 2.2 KW  1 NOS</t>
  </si>
  <si>
    <t xml:space="preserve">DOL FEEDER 1.5 KW 5 NOS </t>
  </si>
  <si>
    <t xml:space="preserve">DOL FEEDER 0.37 KW 2 NOS </t>
  </si>
  <si>
    <t>ON/OFF 2 Position ILSW</t>
  </si>
  <si>
    <t>SUPPLY FEEDER</t>
  </si>
  <si>
    <t>10A,2P, 10kA, C-Curve MCB</t>
  </si>
  <si>
    <t>DATE:-03-01-2026</t>
  </si>
  <si>
    <t xml:space="preserve"> LV429338_IN</t>
  </si>
  <si>
    <t>Extended Rotary Handle</t>
  </si>
  <si>
    <t>DVP12SA211R</t>
  </si>
  <si>
    <t>DVP04AD-S</t>
  </si>
  <si>
    <t xml:space="preserve">Power Earthing terminals 4Sq.mm </t>
  </si>
  <si>
    <t xml:space="preserve">Fan 6"inch 230VAC </t>
  </si>
  <si>
    <t>MCCB 3P, 63AMP, 36kA, TMD</t>
  </si>
  <si>
    <t>DOL FEEDER 2.2 KW  4 NOS</t>
  </si>
  <si>
    <t>Control Transfomer 415/230VAC-750 VA</t>
  </si>
  <si>
    <t>DOL FEEDER 3.7 KW 6 NOS</t>
  </si>
  <si>
    <t>1NO And 1NC contact block As per requirement</t>
  </si>
  <si>
    <t xml:space="preserve">  LADN11</t>
  </si>
  <si>
    <t>Power terminals 6Sq.mm YELLOW</t>
  </si>
  <si>
    <t>Power terminals 6Sq.mm BLUE</t>
  </si>
  <si>
    <t>Power terminals 6Sq.mm RED</t>
  </si>
  <si>
    <t>Power terminals 6Sq.mm BLACK</t>
  </si>
  <si>
    <t>OMRON</t>
  </si>
  <si>
    <t>T.A.</t>
  </si>
  <si>
    <t>V.K.</t>
  </si>
  <si>
    <t xml:space="preserve"> DVP16SN11T</t>
  </si>
  <si>
    <t>HMI 7 Inch</t>
  </si>
  <si>
    <t>DOP-107CV</t>
  </si>
  <si>
    <t>PRG-2526-637-BOM</t>
  </si>
  <si>
    <t>Current Transformer 60/5A 5 VA</t>
  </si>
  <si>
    <t>Overload Mounting Kit</t>
  </si>
  <si>
    <t>LAD7B106</t>
  </si>
  <si>
    <t>DVP16SM11N</t>
  </si>
  <si>
    <t>Shavison</t>
  </si>
  <si>
    <t>Control Terminals 4 Sqmm Fuse Type</t>
  </si>
  <si>
    <t>Control Terminals 2.5Sq.mm Non-Fuse</t>
  </si>
  <si>
    <t>Fuse- 2A, 250mA, 500mA</t>
  </si>
  <si>
    <t>Alarm Accept PB Yellow</t>
  </si>
  <si>
    <t>Emg Stop</t>
  </si>
  <si>
    <t>Loc/Rem SSW 2 Pos.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</si>
</sst>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###0;###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1"/>
    </font>
    <font>
      <sz val="11"/>
      <color rgb="FF000000"/>
      <name val="Times New Roman"/>
      <family val="1"/>
    </font>
    <font>
      <sz val="12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" fontId="2" fillId="0" borderId="0"/>
    <xf numFmtId="0" fontId="10" fillId="0" borderId="0"/>
    <xf numFmtId="164" fontId="10" fillId="0" borderId="0" applyFont="0" applyFill="0" applyBorder="0" applyAlignment="0" applyProtection="0"/>
  </cellStyleXfs>
  <cellXfs count="40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0" fontId="0" fillId="4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165" fontId="5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/>
    </xf>
    <xf numFmtId="165" fontId="9" fillId="5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6" borderId="0" xfId="0" applyFill="1" applyAlignment="1">
      <alignment horizontal="left" vertical="center"/>
    </xf>
    <xf numFmtId="0" fontId="8" fillId="5" borderId="1" xfId="0" applyFont="1" applyFill="1" applyBorder="1" applyAlignment="1">
      <alignment horizontal="center" vertical="center" wrapText="1"/>
    </xf>
    <xf numFmtId="1" fontId="3" fillId="0" borderId="1" xfId="1" applyFont="1" applyBorder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0" fillId="0" borderId="0" xfId="0" applyAlignment="1">
      <alignment horizontal="center" vertical="center"/>
    </xf>
    <xf numFmtId="0" fontId="11" fillId="2" borderId="1" xfId="0" applyFont="1" applyFill="1" applyBorder="1" applyAlignment="1">
      <alignment horizontal="left" vertical="center" wrapText="1"/>
    </xf>
    <xf numFmtId="0" fontId="12" fillId="0" borderId="0" xfId="0" applyFont="1" applyAlignment="1">
      <alignment vertical="center"/>
    </xf>
    <xf numFmtId="0" fontId="0" fillId="2" borderId="0" xfId="0" applyFill="1"/>
    <xf numFmtId="0" fontId="0" fillId="0" borderId="1" xfId="0" applyBorder="1"/>
    <xf numFmtId="0" fontId="0" fillId="0" borderId="1" xfId="0" applyBorder="1" applyAlignment="1">
      <alignment horizontal="center"/>
    </xf>
    <xf numFmtId="0" fontId="1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1" fontId="3" fillId="0" borderId="1" xfId="1" applyFont="1" applyBorder="1" applyAlignment="1">
      <alignment horizontal="left" vertical="center" wrapText="1"/>
    </xf>
    <xf numFmtId="1" fontId="3" fillId="0" borderId="1" xfId="1" applyFont="1" applyBorder="1" applyAlignment="1">
      <alignment horizontal="left" vertical="center"/>
    </xf>
    <xf numFmtId="1" fontId="3" fillId="0" borderId="1" xfId="1" applyFont="1" applyBorder="1" applyAlignment="1">
      <alignment horizontal="center" vertical="center"/>
    </xf>
    <xf numFmtId="1" fontId="3" fillId="2" borderId="1" xfId="1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</cellXfs>
  <cellStyles count="4">
    <cellStyle name="Comma 2" xfId="3" xr:uid="{00000000-0005-0000-0000-000001000000}"/>
    <cellStyle name="Normal" xfId="0" builtinId="0"/>
    <cellStyle name="Normal 3" xfId="2" xr:uid="{00000000-0005-0000-0000-000004000000}"/>
    <cellStyle name="Normal_EDP002-M-128 10" xfId="1" xr:uid="{00000000-0005-0000-0000-000005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2CACB-4871-4DFF-A63B-299E1F744E54}">
  <dimension ref="A1:BL120"/>
  <sheetViews>
    <sheetView tabSelected="1" topLeftCell="A10" zoomScale="115" zoomScaleNormal="115" zoomScaleSheetLayoutView="85" workbookViewId="0">
      <selection activeCell="B27" sqref="B27"/>
    </sheetView>
  </sheetViews>
  <sheetFormatPr defaultRowHeight="15" x14ac:dyDescent="0.25"/>
  <cols>
    <col min="1" max="1" width="6.85546875" bestFit="1" customWidth="1"/>
    <col min="2" max="2" width="74.28515625" bestFit="1" customWidth="1"/>
    <col min="3" max="3" width="12.42578125" customWidth="1"/>
    <col min="4" max="4" width="19.85546875" bestFit="1" customWidth="1"/>
    <col min="5" max="5" width="5.42578125" bestFit="1" customWidth="1"/>
    <col min="6" max="6" width="6" bestFit="1" customWidth="1"/>
    <col min="7" max="7" width="6.5703125" customWidth="1"/>
    <col min="8" max="8" width="5.5703125" bestFit="1" customWidth="1"/>
  </cols>
  <sheetData>
    <row r="1" spans="1:64" x14ac:dyDescent="0.25">
      <c r="A1" s="34" t="s">
        <v>112</v>
      </c>
      <c r="B1" s="35"/>
      <c r="C1" s="35"/>
      <c r="D1" s="35"/>
      <c r="E1" s="36" t="s">
        <v>53</v>
      </c>
      <c r="F1" s="36"/>
      <c r="G1" s="36"/>
      <c r="H1" s="36"/>
    </row>
    <row r="2" spans="1:64" x14ac:dyDescent="0.25">
      <c r="A2" s="35" t="s">
        <v>111</v>
      </c>
      <c r="B2" s="35"/>
      <c r="C2" s="35"/>
      <c r="D2" s="35"/>
      <c r="E2" s="36" t="s">
        <v>0</v>
      </c>
      <c r="F2" s="36"/>
      <c r="G2" s="36"/>
      <c r="H2" s="36"/>
    </row>
    <row r="3" spans="1:64" x14ac:dyDescent="0.25">
      <c r="A3" s="35" t="s">
        <v>55</v>
      </c>
      <c r="B3" s="35"/>
      <c r="C3" s="35"/>
      <c r="D3" s="35"/>
      <c r="E3" s="36"/>
      <c r="F3" s="36"/>
      <c r="G3" s="36"/>
      <c r="H3" s="36"/>
    </row>
    <row r="4" spans="1:64" x14ac:dyDescent="0.25">
      <c r="A4" s="35" t="s">
        <v>119</v>
      </c>
      <c r="B4" s="35"/>
      <c r="C4" s="20" t="s">
        <v>1</v>
      </c>
      <c r="D4" s="20" t="s">
        <v>137</v>
      </c>
      <c r="E4" s="36"/>
      <c r="F4" s="36"/>
      <c r="G4" s="36"/>
      <c r="H4" s="36"/>
    </row>
    <row r="5" spans="1:64" x14ac:dyDescent="0.25">
      <c r="A5" s="37"/>
      <c r="B5" s="37"/>
      <c r="C5" s="20" t="s">
        <v>2</v>
      </c>
      <c r="D5" s="20" t="s">
        <v>138</v>
      </c>
      <c r="E5" s="36"/>
      <c r="F5" s="36"/>
      <c r="G5" s="36"/>
      <c r="H5" s="36"/>
    </row>
    <row r="6" spans="1:64" ht="18.75" x14ac:dyDescent="0.25">
      <c r="A6" s="38" t="s">
        <v>142</v>
      </c>
      <c r="B6" s="39"/>
      <c r="C6" s="39"/>
      <c r="D6" s="39"/>
      <c r="E6" s="39"/>
      <c r="F6" s="39"/>
      <c r="G6" s="39"/>
      <c r="H6" s="39"/>
    </row>
    <row r="7" spans="1:64" ht="30" x14ac:dyDescent="0.25">
      <c r="A7" s="17" t="s">
        <v>16</v>
      </c>
      <c r="B7" s="1" t="s">
        <v>15</v>
      </c>
      <c r="C7" s="1" t="s">
        <v>3</v>
      </c>
      <c r="D7" s="1" t="s">
        <v>4</v>
      </c>
      <c r="E7" s="1" t="s">
        <v>12</v>
      </c>
      <c r="F7" s="1" t="s">
        <v>13</v>
      </c>
      <c r="G7" s="1" t="s">
        <v>14</v>
      </c>
      <c r="H7" s="1" t="s">
        <v>5</v>
      </c>
    </row>
    <row r="8" spans="1:64" s="6" customFormat="1" ht="15.75" x14ac:dyDescent="0.25">
      <c r="A8" s="12" t="s">
        <v>17</v>
      </c>
      <c r="B8" s="13" t="s">
        <v>96</v>
      </c>
      <c r="C8" s="30"/>
      <c r="D8" s="30"/>
      <c r="E8" s="19">
        <v>1</v>
      </c>
      <c r="F8" s="19">
        <v>1</v>
      </c>
      <c r="G8" s="14">
        <f>E8*F8</f>
        <v>1</v>
      </c>
      <c r="H8" s="14" t="s">
        <v>6</v>
      </c>
    </row>
    <row r="9" spans="1:64" s="18" customFormat="1" x14ac:dyDescent="0.25">
      <c r="A9" s="29">
        <v>1</v>
      </c>
      <c r="B9" s="23" t="s">
        <v>126</v>
      </c>
      <c r="C9" s="11" t="s">
        <v>61</v>
      </c>
      <c r="D9" s="15" t="s">
        <v>93</v>
      </c>
      <c r="E9" s="11">
        <v>1</v>
      </c>
      <c r="F9" s="11">
        <v>1</v>
      </c>
      <c r="G9" s="9">
        <f>E9*F9</f>
        <v>1</v>
      </c>
      <c r="H9" s="9" t="s">
        <v>62</v>
      </c>
    </row>
    <row r="10" spans="1:64" s="18" customFormat="1" x14ac:dyDescent="0.25">
      <c r="A10" s="29">
        <v>2</v>
      </c>
      <c r="B10" s="23" t="s">
        <v>121</v>
      </c>
      <c r="C10" s="11" t="s">
        <v>61</v>
      </c>
      <c r="D10" s="15" t="s">
        <v>120</v>
      </c>
      <c r="E10" s="11">
        <v>1</v>
      </c>
      <c r="F10" s="11">
        <v>1</v>
      </c>
      <c r="G10" s="9">
        <f t="shared" ref="G10:G35" si="0">E10*F10</f>
        <v>1</v>
      </c>
      <c r="H10" s="9" t="s">
        <v>62</v>
      </c>
    </row>
    <row r="11" spans="1:64" s="6" customFormat="1" x14ac:dyDescent="0.25">
      <c r="A11" s="29">
        <v>3</v>
      </c>
      <c r="B11" s="10" t="s">
        <v>94</v>
      </c>
      <c r="C11" s="11" t="s">
        <v>8</v>
      </c>
      <c r="D11" s="15"/>
      <c r="E11" s="11">
        <v>3</v>
      </c>
      <c r="F11" s="11">
        <v>1</v>
      </c>
      <c r="G11" s="9">
        <f t="shared" si="0"/>
        <v>3</v>
      </c>
      <c r="H11" s="9" t="s">
        <v>6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</row>
    <row r="12" spans="1:64" s="6" customFormat="1" x14ac:dyDescent="0.25">
      <c r="A12" s="29">
        <v>4</v>
      </c>
      <c r="B12" s="10" t="s">
        <v>95</v>
      </c>
      <c r="C12" s="11" t="s">
        <v>8</v>
      </c>
      <c r="D12" s="15"/>
      <c r="E12" s="11">
        <v>1</v>
      </c>
      <c r="F12" s="11">
        <v>1</v>
      </c>
      <c r="G12" s="9">
        <f t="shared" si="0"/>
        <v>1</v>
      </c>
      <c r="H12" s="9" t="s">
        <v>6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</row>
    <row r="13" spans="1:64" s="6" customFormat="1" x14ac:dyDescent="0.25">
      <c r="A13" s="29">
        <v>5</v>
      </c>
      <c r="B13" s="10" t="s">
        <v>28</v>
      </c>
      <c r="C13" s="11" t="s">
        <v>35</v>
      </c>
      <c r="D13" s="8" t="s">
        <v>45</v>
      </c>
      <c r="E13" s="11">
        <v>1</v>
      </c>
      <c r="F13" s="11">
        <v>1</v>
      </c>
      <c r="G13" s="9">
        <f t="shared" si="0"/>
        <v>1</v>
      </c>
      <c r="H13" s="9" t="s">
        <v>6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</row>
    <row r="14" spans="1:64" s="5" customFormat="1" x14ac:dyDescent="0.25">
      <c r="A14" s="29">
        <v>6</v>
      </c>
      <c r="B14" s="10" t="s">
        <v>63</v>
      </c>
      <c r="C14" s="11" t="s">
        <v>35</v>
      </c>
      <c r="D14" s="8" t="s">
        <v>47</v>
      </c>
      <c r="E14" s="11">
        <v>3</v>
      </c>
      <c r="F14" s="11">
        <v>1</v>
      </c>
      <c r="G14" s="9">
        <f t="shared" si="0"/>
        <v>3</v>
      </c>
      <c r="H14" s="9" t="s">
        <v>6</v>
      </c>
    </row>
    <row r="15" spans="1:64" s="5" customFormat="1" x14ac:dyDescent="0.25">
      <c r="A15" s="29">
        <v>7</v>
      </c>
      <c r="B15" s="10" t="s">
        <v>64</v>
      </c>
      <c r="C15" s="11" t="s">
        <v>35</v>
      </c>
      <c r="D15" s="16" t="s">
        <v>65</v>
      </c>
      <c r="E15" s="8">
        <v>1</v>
      </c>
      <c r="F15" s="11">
        <v>1</v>
      </c>
      <c r="G15" s="9">
        <f t="shared" si="0"/>
        <v>1</v>
      </c>
      <c r="H15" s="9" t="s">
        <v>6</v>
      </c>
    </row>
    <row r="16" spans="1:64" s="21" customFormat="1" x14ac:dyDescent="0.25">
      <c r="A16" s="29">
        <v>8</v>
      </c>
      <c r="B16" s="10" t="s">
        <v>79</v>
      </c>
      <c r="C16" s="11" t="s">
        <v>56</v>
      </c>
      <c r="D16" s="15" t="s">
        <v>75</v>
      </c>
      <c r="E16" s="11">
        <v>1</v>
      </c>
      <c r="F16" s="11">
        <v>1</v>
      </c>
      <c r="G16" s="9">
        <f t="shared" si="0"/>
        <v>1</v>
      </c>
      <c r="H16" s="9" t="s">
        <v>6</v>
      </c>
    </row>
    <row r="17" spans="1:37" s="21" customFormat="1" x14ac:dyDescent="0.25">
      <c r="A17" s="29">
        <v>9</v>
      </c>
      <c r="B17" s="10" t="s">
        <v>143</v>
      </c>
      <c r="C17" s="11" t="s">
        <v>18</v>
      </c>
      <c r="D17" s="15"/>
      <c r="E17" s="11">
        <v>3</v>
      </c>
      <c r="F17" s="11">
        <v>1</v>
      </c>
      <c r="G17" s="9">
        <f t="shared" si="0"/>
        <v>3</v>
      </c>
      <c r="H17" s="9" t="s">
        <v>6</v>
      </c>
    </row>
    <row r="18" spans="1:37" s="6" customFormat="1" x14ac:dyDescent="0.25">
      <c r="A18" s="29">
        <v>10</v>
      </c>
      <c r="B18" s="10" t="s">
        <v>9</v>
      </c>
      <c r="C18" s="11" t="s">
        <v>7</v>
      </c>
      <c r="D18" s="15" t="s">
        <v>22</v>
      </c>
      <c r="E18" s="11">
        <v>1</v>
      </c>
      <c r="F18" s="11">
        <v>1</v>
      </c>
      <c r="G18" s="9">
        <f t="shared" si="0"/>
        <v>1</v>
      </c>
      <c r="H18" s="9" t="s">
        <v>6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</row>
    <row r="19" spans="1:37" s="6" customFormat="1" x14ac:dyDescent="0.25">
      <c r="A19" s="29">
        <v>11</v>
      </c>
      <c r="B19" s="10" t="s">
        <v>10</v>
      </c>
      <c r="C19" s="11" t="s">
        <v>7</v>
      </c>
      <c r="D19" s="15" t="s">
        <v>23</v>
      </c>
      <c r="E19" s="11">
        <v>1</v>
      </c>
      <c r="F19" s="11">
        <v>1</v>
      </c>
      <c r="G19" s="9">
        <f t="shared" si="0"/>
        <v>1</v>
      </c>
      <c r="H19" s="9" t="s">
        <v>6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</row>
    <row r="20" spans="1:37" s="6" customFormat="1" x14ac:dyDescent="0.25">
      <c r="A20" s="29">
        <v>12</v>
      </c>
      <c r="B20" s="10" t="s">
        <v>11</v>
      </c>
      <c r="C20" s="11" t="s">
        <v>7</v>
      </c>
      <c r="D20" s="15" t="s">
        <v>24</v>
      </c>
      <c r="E20" s="11">
        <v>1</v>
      </c>
      <c r="F20" s="11">
        <v>1</v>
      </c>
      <c r="G20" s="9">
        <f t="shared" si="0"/>
        <v>1</v>
      </c>
      <c r="H20" s="9" t="s">
        <v>6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</row>
    <row r="21" spans="1:37" s="6" customFormat="1" x14ac:dyDescent="0.25">
      <c r="A21" s="29">
        <v>13</v>
      </c>
      <c r="B21" s="10" t="s">
        <v>66</v>
      </c>
      <c r="C21" s="11" t="s">
        <v>67</v>
      </c>
      <c r="D21" s="15"/>
      <c r="E21" s="11">
        <v>1</v>
      </c>
      <c r="F21" s="11">
        <v>1</v>
      </c>
      <c r="G21" s="9">
        <f t="shared" si="0"/>
        <v>1</v>
      </c>
      <c r="H21" s="9" t="s">
        <v>6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</row>
    <row r="22" spans="1:37" s="6" customFormat="1" x14ac:dyDescent="0.25">
      <c r="A22" s="29">
        <v>14</v>
      </c>
      <c r="B22" s="10" t="s">
        <v>110</v>
      </c>
      <c r="C22" s="11" t="s">
        <v>68</v>
      </c>
      <c r="D22" s="8"/>
      <c r="E22" s="11">
        <v>1</v>
      </c>
      <c r="F22" s="11">
        <v>1</v>
      </c>
      <c r="G22" s="9">
        <f t="shared" si="0"/>
        <v>1</v>
      </c>
      <c r="H22" s="9" t="s">
        <v>6</v>
      </c>
      <c r="I22" s="5"/>
      <c r="J22" s="5"/>
      <c r="K22" s="5"/>
      <c r="L22" s="5"/>
      <c r="M22" s="5"/>
      <c r="N22" s="5"/>
      <c r="O22" s="5"/>
      <c r="P22" s="5"/>
      <c r="Q22" s="5"/>
    </row>
    <row r="23" spans="1:37" s="6" customFormat="1" x14ac:dyDescent="0.25">
      <c r="A23" s="29">
        <v>15</v>
      </c>
      <c r="B23" s="10" t="s">
        <v>125</v>
      </c>
      <c r="C23" s="8" t="s">
        <v>69</v>
      </c>
      <c r="D23" s="8"/>
      <c r="E23" s="8">
        <v>2</v>
      </c>
      <c r="F23" s="11">
        <v>1</v>
      </c>
      <c r="G23" s="9">
        <f t="shared" si="0"/>
        <v>2</v>
      </c>
      <c r="H23" s="9" t="s">
        <v>6</v>
      </c>
      <c r="I23" s="5"/>
      <c r="J23" s="5"/>
      <c r="K23" s="5"/>
      <c r="L23" s="5"/>
      <c r="M23" s="5"/>
      <c r="N23" s="5"/>
      <c r="O23" s="5"/>
      <c r="P23" s="5"/>
      <c r="Q23" s="5"/>
    </row>
    <row r="24" spans="1:37" s="6" customFormat="1" x14ac:dyDescent="0.25">
      <c r="A24" s="29">
        <v>16</v>
      </c>
      <c r="B24" s="10" t="s">
        <v>70</v>
      </c>
      <c r="C24" s="8" t="s">
        <v>71</v>
      </c>
      <c r="D24" s="8"/>
      <c r="E24" s="8">
        <v>4</v>
      </c>
      <c r="F24" s="11">
        <v>1</v>
      </c>
      <c r="G24" s="9">
        <f t="shared" si="0"/>
        <v>4</v>
      </c>
      <c r="H24" s="9" t="s">
        <v>6</v>
      </c>
      <c r="I24" s="5"/>
      <c r="J24" s="5"/>
      <c r="K24" s="5"/>
      <c r="L24" s="5"/>
      <c r="M24" s="5"/>
      <c r="N24" s="5"/>
      <c r="O24" s="5"/>
      <c r="P24" s="5"/>
      <c r="Q24" s="5"/>
    </row>
    <row r="25" spans="1:37" s="21" customFormat="1" x14ac:dyDescent="0.25">
      <c r="A25" s="29">
        <v>17</v>
      </c>
      <c r="B25" s="10" t="s">
        <v>128</v>
      </c>
      <c r="C25" s="11" t="s">
        <v>42</v>
      </c>
      <c r="D25" s="15"/>
      <c r="E25" s="11">
        <v>1</v>
      </c>
      <c r="F25" s="11">
        <v>1</v>
      </c>
      <c r="G25" s="9">
        <f t="shared" si="0"/>
        <v>1</v>
      </c>
      <c r="H25" s="9" t="s">
        <v>6</v>
      </c>
      <c r="I25" s="3"/>
      <c r="J25" s="3"/>
    </row>
    <row r="26" spans="1:37" s="6" customFormat="1" x14ac:dyDescent="0.25">
      <c r="A26" s="29">
        <v>18</v>
      </c>
      <c r="B26" s="10" t="s">
        <v>72</v>
      </c>
      <c r="C26" s="11" t="s">
        <v>73</v>
      </c>
      <c r="D26" s="8"/>
      <c r="E26" s="11">
        <v>1</v>
      </c>
      <c r="F26" s="11">
        <v>1</v>
      </c>
      <c r="G26" s="9">
        <f t="shared" si="0"/>
        <v>1</v>
      </c>
      <c r="H26" s="9" t="s">
        <v>6</v>
      </c>
      <c r="I26" s="5"/>
      <c r="J26" s="5"/>
      <c r="K26" s="5"/>
      <c r="L26" s="5"/>
      <c r="M26" s="5"/>
      <c r="N26" s="5"/>
      <c r="O26" s="5"/>
      <c r="P26" s="5"/>
      <c r="Q26" s="5"/>
    </row>
    <row r="27" spans="1:37" x14ac:dyDescent="0.25">
      <c r="A27" s="29">
        <v>19</v>
      </c>
      <c r="B27" s="10" t="s">
        <v>80</v>
      </c>
      <c r="C27" s="16" t="s">
        <v>8</v>
      </c>
      <c r="D27" s="26"/>
      <c r="E27" s="11">
        <v>4</v>
      </c>
      <c r="F27" s="11">
        <v>1</v>
      </c>
      <c r="G27" s="9">
        <f t="shared" si="0"/>
        <v>4</v>
      </c>
      <c r="H27" s="9" t="s">
        <v>6</v>
      </c>
    </row>
    <row r="28" spans="1:37" s="6" customFormat="1" x14ac:dyDescent="0.25">
      <c r="A28" s="29">
        <v>20</v>
      </c>
      <c r="B28" s="10" t="s">
        <v>97</v>
      </c>
      <c r="C28" s="11" t="s">
        <v>74</v>
      </c>
      <c r="D28" s="8"/>
      <c r="E28" s="11">
        <v>1</v>
      </c>
      <c r="F28" s="11">
        <v>1</v>
      </c>
      <c r="G28" s="9">
        <f t="shared" si="0"/>
        <v>1</v>
      </c>
      <c r="H28" s="9" t="s">
        <v>6</v>
      </c>
      <c r="I28" s="5"/>
      <c r="J28" s="5"/>
      <c r="K28" s="5"/>
      <c r="L28" s="5"/>
      <c r="M28" s="5"/>
      <c r="N28" s="5"/>
      <c r="O28" s="5"/>
      <c r="P28" s="5"/>
      <c r="Q28" s="5"/>
    </row>
    <row r="29" spans="1:37" s="6" customFormat="1" x14ac:dyDescent="0.25">
      <c r="A29" s="29">
        <v>21</v>
      </c>
      <c r="B29" s="10" t="s">
        <v>98</v>
      </c>
      <c r="C29" s="11" t="s">
        <v>18</v>
      </c>
      <c r="D29" s="8"/>
      <c r="E29" s="11">
        <v>2</v>
      </c>
      <c r="F29" s="11">
        <v>1</v>
      </c>
      <c r="G29" s="9">
        <f t="shared" si="0"/>
        <v>2</v>
      </c>
      <c r="H29" s="9" t="s">
        <v>6</v>
      </c>
      <c r="I29" s="5"/>
      <c r="J29" s="5"/>
      <c r="K29" s="5"/>
      <c r="L29" s="5"/>
      <c r="M29" s="5"/>
      <c r="N29" s="5"/>
      <c r="O29" s="5"/>
      <c r="P29" s="5"/>
      <c r="Q29" s="5"/>
    </row>
    <row r="30" spans="1:37" x14ac:dyDescent="0.25">
      <c r="A30" s="29">
        <v>22</v>
      </c>
      <c r="B30" s="10" t="s">
        <v>99</v>
      </c>
      <c r="C30" s="11" t="s">
        <v>18</v>
      </c>
      <c r="D30" s="11"/>
      <c r="E30" s="11">
        <v>5</v>
      </c>
      <c r="F30" s="11">
        <v>1</v>
      </c>
      <c r="G30" s="9">
        <f t="shared" si="0"/>
        <v>5</v>
      </c>
      <c r="H30" s="9" t="s">
        <v>6</v>
      </c>
    </row>
    <row r="31" spans="1:37" x14ac:dyDescent="0.25">
      <c r="A31" s="29">
        <v>23</v>
      </c>
      <c r="B31" s="10" t="s">
        <v>32</v>
      </c>
      <c r="C31" s="11" t="s">
        <v>19</v>
      </c>
      <c r="D31" s="11"/>
      <c r="E31" s="11">
        <v>1</v>
      </c>
      <c r="F31" s="11">
        <v>1</v>
      </c>
      <c r="G31" s="9">
        <f t="shared" si="0"/>
        <v>1</v>
      </c>
      <c r="H31" s="9" t="s">
        <v>43</v>
      </c>
    </row>
    <row r="32" spans="1:37" s="24" customFormat="1" x14ac:dyDescent="0.25">
      <c r="A32" s="29">
        <v>24</v>
      </c>
      <c r="B32" s="10" t="s">
        <v>76</v>
      </c>
      <c r="C32" s="11" t="s">
        <v>18</v>
      </c>
      <c r="D32" s="11" t="s">
        <v>75</v>
      </c>
      <c r="E32" s="11">
        <v>1</v>
      </c>
      <c r="F32" s="11">
        <v>1</v>
      </c>
      <c r="G32" s="9">
        <f t="shared" si="0"/>
        <v>1</v>
      </c>
      <c r="H32" s="9" t="s">
        <v>43</v>
      </c>
    </row>
    <row r="33" spans="1:8" s="24" customFormat="1" x14ac:dyDescent="0.25">
      <c r="A33" s="29">
        <v>25</v>
      </c>
      <c r="B33" s="10" t="s">
        <v>77</v>
      </c>
      <c r="C33" s="11" t="s">
        <v>18</v>
      </c>
      <c r="D33" s="11" t="s">
        <v>75</v>
      </c>
      <c r="E33" s="11">
        <v>1</v>
      </c>
      <c r="F33" s="11">
        <v>1</v>
      </c>
      <c r="G33" s="9">
        <f t="shared" si="0"/>
        <v>1</v>
      </c>
      <c r="H33" s="9" t="s">
        <v>43</v>
      </c>
    </row>
    <row r="34" spans="1:8" s="24" customFormat="1" x14ac:dyDescent="0.25">
      <c r="A34" s="29">
        <v>26</v>
      </c>
      <c r="B34" s="10" t="s">
        <v>100</v>
      </c>
      <c r="C34" s="11" t="s">
        <v>18</v>
      </c>
      <c r="D34" s="11" t="s">
        <v>75</v>
      </c>
      <c r="E34" s="11">
        <v>1</v>
      </c>
      <c r="F34" s="11">
        <v>1</v>
      </c>
      <c r="G34" s="9">
        <f t="shared" si="0"/>
        <v>1</v>
      </c>
      <c r="H34" s="9" t="s">
        <v>43</v>
      </c>
    </row>
    <row r="35" spans="1:8" s="24" customFormat="1" x14ac:dyDescent="0.25">
      <c r="A35" s="29">
        <v>27</v>
      </c>
      <c r="B35" s="10" t="s">
        <v>78</v>
      </c>
      <c r="C35" s="11" t="s">
        <v>18</v>
      </c>
      <c r="D35" s="11" t="s">
        <v>75</v>
      </c>
      <c r="E35" s="11">
        <v>1</v>
      </c>
      <c r="F35" s="11">
        <v>1</v>
      </c>
      <c r="G35" s="9">
        <f t="shared" si="0"/>
        <v>1</v>
      </c>
      <c r="H35" s="9" t="s">
        <v>43</v>
      </c>
    </row>
    <row r="36" spans="1:8" s="25" customFormat="1" ht="15.75" x14ac:dyDescent="0.25">
      <c r="A36" s="12">
        <v>1</v>
      </c>
      <c r="B36" s="13" t="s">
        <v>82</v>
      </c>
      <c r="C36" s="30"/>
      <c r="D36" s="30"/>
      <c r="E36" s="19">
        <v>1</v>
      </c>
      <c r="F36" s="19">
        <v>1</v>
      </c>
      <c r="G36" s="14">
        <f>E36*F36</f>
        <v>1</v>
      </c>
      <c r="H36" s="14" t="s">
        <v>6</v>
      </c>
    </row>
    <row r="37" spans="1:8" x14ac:dyDescent="0.25">
      <c r="A37" s="29">
        <v>1</v>
      </c>
      <c r="B37" s="10" t="s">
        <v>57</v>
      </c>
      <c r="C37" s="11" t="s">
        <v>35</v>
      </c>
      <c r="D37" s="16" t="s">
        <v>45</v>
      </c>
      <c r="E37" s="11">
        <v>1</v>
      </c>
      <c r="F37" s="11">
        <v>1</v>
      </c>
      <c r="G37" s="9">
        <f>E37*F37</f>
        <v>1</v>
      </c>
      <c r="H37" s="9" t="s">
        <v>6</v>
      </c>
    </row>
    <row r="38" spans="1:8" x14ac:dyDescent="0.25">
      <c r="A38" s="29">
        <v>2</v>
      </c>
      <c r="B38" s="7" t="s">
        <v>29</v>
      </c>
      <c r="C38" s="8" t="s">
        <v>35</v>
      </c>
      <c r="D38" s="16" t="s">
        <v>33</v>
      </c>
      <c r="E38" s="8">
        <v>1</v>
      </c>
      <c r="F38" s="11">
        <v>1</v>
      </c>
      <c r="G38" s="2">
        <f>E38*F38</f>
        <v>1</v>
      </c>
      <c r="H38" s="2" t="s">
        <v>6</v>
      </c>
    </row>
    <row r="39" spans="1:8" s="4" customFormat="1" x14ac:dyDescent="0.25">
      <c r="A39" s="29">
        <v>3</v>
      </c>
      <c r="B39" s="10" t="s">
        <v>83</v>
      </c>
      <c r="C39" s="11" t="s">
        <v>35</v>
      </c>
      <c r="D39" s="11" t="s">
        <v>84</v>
      </c>
      <c r="E39" s="11">
        <v>1</v>
      </c>
      <c r="F39" s="11">
        <v>1</v>
      </c>
      <c r="G39" s="9">
        <f>E39*F39</f>
        <v>1</v>
      </c>
      <c r="H39" s="9" t="s">
        <v>6</v>
      </c>
    </row>
    <row r="40" spans="1:8" x14ac:dyDescent="0.25">
      <c r="A40" s="29">
        <v>4</v>
      </c>
      <c r="B40" s="7" t="s">
        <v>88</v>
      </c>
      <c r="C40" s="8" t="s">
        <v>7</v>
      </c>
      <c r="D40" s="16"/>
      <c r="E40" s="8">
        <v>1</v>
      </c>
      <c r="F40" s="11">
        <v>1</v>
      </c>
      <c r="G40" s="2">
        <f>E40*F40</f>
        <v>1</v>
      </c>
      <c r="H40" s="2" t="s">
        <v>6</v>
      </c>
    </row>
    <row r="41" spans="1:8" x14ac:dyDescent="0.25">
      <c r="A41" s="29">
        <v>5</v>
      </c>
      <c r="B41" s="10" t="s">
        <v>26</v>
      </c>
      <c r="C41" s="11" t="s">
        <v>18</v>
      </c>
      <c r="D41" s="11"/>
      <c r="E41" s="11">
        <v>3</v>
      </c>
      <c r="F41" s="11">
        <v>1</v>
      </c>
      <c r="G41" s="9">
        <f t="shared" ref="G41:G42" si="1">E41*F41</f>
        <v>3</v>
      </c>
      <c r="H41" s="9" t="s">
        <v>6</v>
      </c>
    </row>
    <row r="42" spans="1:8" x14ac:dyDescent="0.25">
      <c r="A42" s="29">
        <v>6</v>
      </c>
      <c r="B42" s="10" t="s">
        <v>27</v>
      </c>
      <c r="C42" s="11" t="s">
        <v>19</v>
      </c>
      <c r="D42" s="11"/>
      <c r="E42" s="11">
        <v>1</v>
      </c>
      <c r="F42" s="11">
        <v>1</v>
      </c>
      <c r="G42" s="9">
        <f t="shared" si="1"/>
        <v>1</v>
      </c>
      <c r="H42" s="9" t="s">
        <v>43</v>
      </c>
    </row>
    <row r="43" spans="1:8" s="25" customFormat="1" ht="15.75" x14ac:dyDescent="0.25">
      <c r="A43" s="12">
        <v>2</v>
      </c>
      <c r="B43" s="13" t="s">
        <v>114</v>
      </c>
      <c r="C43" s="30"/>
      <c r="D43" s="30"/>
      <c r="E43" s="19">
        <v>1</v>
      </c>
      <c r="F43" s="19">
        <v>5</v>
      </c>
      <c r="G43" s="14">
        <f>E43*F43</f>
        <v>5</v>
      </c>
      <c r="H43" s="14" t="s">
        <v>6</v>
      </c>
    </row>
    <row r="44" spans="1:8" ht="15.75" x14ac:dyDescent="0.25">
      <c r="A44" s="29">
        <v>1</v>
      </c>
      <c r="B44" s="10" t="s">
        <v>58</v>
      </c>
      <c r="C44" s="11" t="s">
        <v>35</v>
      </c>
      <c r="D44" s="16" t="s">
        <v>59</v>
      </c>
      <c r="E44" s="11">
        <v>1</v>
      </c>
      <c r="F44" s="28">
        <v>5</v>
      </c>
      <c r="G44" s="9">
        <f t="shared" ref="G44" si="2">E44*F44</f>
        <v>5</v>
      </c>
      <c r="H44" s="9" t="s">
        <v>6</v>
      </c>
    </row>
    <row r="45" spans="1:8" ht="15.75" x14ac:dyDescent="0.25">
      <c r="A45" s="29">
        <v>2</v>
      </c>
      <c r="B45" s="10" t="s">
        <v>29</v>
      </c>
      <c r="C45" s="11" t="s">
        <v>35</v>
      </c>
      <c r="D45" s="16" t="s">
        <v>33</v>
      </c>
      <c r="E45" s="11">
        <v>1</v>
      </c>
      <c r="F45" s="28">
        <v>5</v>
      </c>
      <c r="G45" s="9">
        <f t="shared" ref="G45:G49" si="3">E45*F45</f>
        <v>5</v>
      </c>
      <c r="H45" s="9" t="s">
        <v>6</v>
      </c>
    </row>
    <row r="46" spans="1:8" s="4" customFormat="1" ht="15.75" x14ac:dyDescent="0.25">
      <c r="A46" s="29">
        <v>3</v>
      </c>
      <c r="B46" s="10" t="s">
        <v>37</v>
      </c>
      <c r="C46" s="11" t="s">
        <v>35</v>
      </c>
      <c r="D46" s="11" t="s">
        <v>36</v>
      </c>
      <c r="E46" s="11">
        <v>1</v>
      </c>
      <c r="F46" s="28">
        <v>5</v>
      </c>
      <c r="G46" s="9">
        <f t="shared" si="3"/>
        <v>5</v>
      </c>
      <c r="H46" s="9" t="s">
        <v>6</v>
      </c>
    </row>
    <row r="47" spans="1:8" ht="15.75" x14ac:dyDescent="0.25">
      <c r="A47" s="29">
        <v>4</v>
      </c>
      <c r="B47" s="7" t="s">
        <v>88</v>
      </c>
      <c r="C47" s="8" t="s">
        <v>7</v>
      </c>
      <c r="D47" s="16"/>
      <c r="E47" s="8">
        <v>1</v>
      </c>
      <c r="F47" s="28">
        <v>5</v>
      </c>
      <c r="G47" s="2">
        <f t="shared" si="3"/>
        <v>5</v>
      </c>
      <c r="H47" s="2" t="s">
        <v>6</v>
      </c>
    </row>
    <row r="48" spans="1:8" ht="15.75" x14ac:dyDescent="0.25">
      <c r="A48" s="29">
        <v>5</v>
      </c>
      <c r="B48" s="10" t="s">
        <v>26</v>
      </c>
      <c r="C48" s="11" t="s">
        <v>18</v>
      </c>
      <c r="D48" s="11"/>
      <c r="E48" s="11">
        <v>3</v>
      </c>
      <c r="F48" s="28">
        <v>5</v>
      </c>
      <c r="G48" s="9">
        <f t="shared" si="3"/>
        <v>15</v>
      </c>
      <c r="H48" s="9" t="s">
        <v>6</v>
      </c>
    </row>
    <row r="49" spans="1:8" ht="15.75" x14ac:dyDescent="0.25">
      <c r="A49" s="29">
        <v>6</v>
      </c>
      <c r="B49" s="10" t="s">
        <v>27</v>
      </c>
      <c r="C49" s="11" t="s">
        <v>19</v>
      </c>
      <c r="D49" s="11"/>
      <c r="E49" s="11">
        <v>1</v>
      </c>
      <c r="F49" s="28">
        <v>5</v>
      </c>
      <c r="G49" s="9">
        <f t="shared" si="3"/>
        <v>5</v>
      </c>
      <c r="H49" s="9" t="s">
        <v>43</v>
      </c>
    </row>
    <row r="50" spans="1:8" s="25" customFormat="1" ht="15.75" x14ac:dyDescent="0.25">
      <c r="A50" s="12">
        <v>3</v>
      </c>
      <c r="B50" s="13" t="s">
        <v>127</v>
      </c>
      <c r="C50" s="31"/>
      <c r="D50" s="32"/>
      <c r="E50" s="19">
        <v>1</v>
      </c>
      <c r="F50" s="19">
        <v>4</v>
      </c>
      <c r="G50" s="14">
        <f t="shared" ref="G50:G56" si="4">E50*F50</f>
        <v>4</v>
      </c>
      <c r="H50" s="14" t="s">
        <v>6</v>
      </c>
    </row>
    <row r="51" spans="1:8" ht="15.75" x14ac:dyDescent="0.25">
      <c r="A51" s="29">
        <v>1</v>
      </c>
      <c r="B51" s="10" t="s">
        <v>60</v>
      </c>
      <c r="C51" s="11" t="s">
        <v>35</v>
      </c>
      <c r="D51" s="16" t="s">
        <v>85</v>
      </c>
      <c r="E51" s="11">
        <v>1</v>
      </c>
      <c r="F51" s="28">
        <v>4</v>
      </c>
      <c r="G51" s="9">
        <f t="shared" si="4"/>
        <v>4</v>
      </c>
      <c r="H51" s="9" t="s">
        <v>6</v>
      </c>
    </row>
    <row r="52" spans="1:8" ht="15.75" x14ac:dyDescent="0.25">
      <c r="A52" s="29">
        <v>2</v>
      </c>
      <c r="B52" s="10" t="s">
        <v>29</v>
      </c>
      <c r="C52" s="11" t="s">
        <v>35</v>
      </c>
      <c r="D52" s="16" t="s">
        <v>33</v>
      </c>
      <c r="E52" s="11">
        <v>1</v>
      </c>
      <c r="F52" s="28">
        <v>4</v>
      </c>
      <c r="G52" s="9">
        <f t="shared" si="4"/>
        <v>4</v>
      </c>
      <c r="H52" s="9" t="s">
        <v>6</v>
      </c>
    </row>
    <row r="53" spans="1:8" ht="15.75" x14ac:dyDescent="0.25">
      <c r="A53" s="29">
        <v>3</v>
      </c>
      <c r="B53" s="10" t="s">
        <v>81</v>
      </c>
      <c r="C53" s="11" t="s">
        <v>35</v>
      </c>
      <c r="D53" s="11" t="s">
        <v>44</v>
      </c>
      <c r="E53" s="11">
        <v>1</v>
      </c>
      <c r="F53" s="28">
        <v>4</v>
      </c>
      <c r="G53" s="9">
        <f t="shared" si="4"/>
        <v>4</v>
      </c>
      <c r="H53" s="9" t="s">
        <v>6</v>
      </c>
    </row>
    <row r="54" spans="1:8" ht="15.75" x14ac:dyDescent="0.25">
      <c r="A54" s="29">
        <v>4</v>
      </c>
      <c r="B54" s="7" t="s">
        <v>88</v>
      </c>
      <c r="C54" s="8" t="s">
        <v>7</v>
      </c>
      <c r="D54" s="16"/>
      <c r="E54" s="8">
        <v>1</v>
      </c>
      <c r="F54" s="28">
        <v>4</v>
      </c>
      <c r="G54" s="2">
        <f t="shared" si="4"/>
        <v>4</v>
      </c>
      <c r="H54" s="2" t="s">
        <v>6</v>
      </c>
    </row>
    <row r="55" spans="1:8" ht="15.75" x14ac:dyDescent="0.25">
      <c r="A55" s="29">
        <v>5</v>
      </c>
      <c r="B55" s="10" t="s">
        <v>26</v>
      </c>
      <c r="C55" s="11" t="s">
        <v>18</v>
      </c>
      <c r="D55" s="11"/>
      <c r="E55" s="11">
        <v>3</v>
      </c>
      <c r="F55" s="28">
        <v>4</v>
      </c>
      <c r="G55" s="9">
        <f t="shared" si="4"/>
        <v>12</v>
      </c>
      <c r="H55" s="9" t="s">
        <v>6</v>
      </c>
    </row>
    <row r="56" spans="1:8" ht="15.75" x14ac:dyDescent="0.25">
      <c r="A56" s="29">
        <v>6</v>
      </c>
      <c r="B56" s="10" t="s">
        <v>27</v>
      </c>
      <c r="C56" s="11" t="s">
        <v>19</v>
      </c>
      <c r="D56" s="11"/>
      <c r="E56" s="11">
        <v>1</v>
      </c>
      <c r="F56" s="28">
        <v>4</v>
      </c>
      <c r="G56" s="9">
        <f t="shared" si="4"/>
        <v>4</v>
      </c>
      <c r="H56" s="9" t="s">
        <v>43</v>
      </c>
    </row>
    <row r="57" spans="1:8" s="25" customFormat="1" ht="15.75" x14ac:dyDescent="0.25">
      <c r="A57" s="12">
        <v>4</v>
      </c>
      <c r="B57" s="13" t="s">
        <v>113</v>
      </c>
      <c r="C57" s="30"/>
      <c r="D57" s="30"/>
      <c r="E57" s="19">
        <v>1</v>
      </c>
      <c r="F57" s="19">
        <v>1</v>
      </c>
      <c r="G57" s="14">
        <f t="shared" ref="G57:G63" si="5">E57*F57</f>
        <v>1</v>
      </c>
      <c r="H57" s="14" t="s">
        <v>6</v>
      </c>
    </row>
    <row r="58" spans="1:8" ht="15.75" x14ac:dyDescent="0.25">
      <c r="A58" s="29">
        <v>1</v>
      </c>
      <c r="B58" s="10" t="s">
        <v>60</v>
      </c>
      <c r="C58" s="11" t="s">
        <v>35</v>
      </c>
      <c r="D58" s="16" t="s">
        <v>85</v>
      </c>
      <c r="E58" s="11">
        <v>1</v>
      </c>
      <c r="F58" s="28">
        <v>1</v>
      </c>
      <c r="G58" s="9">
        <f t="shared" si="5"/>
        <v>1</v>
      </c>
      <c r="H58" s="9" t="s">
        <v>6</v>
      </c>
    </row>
    <row r="59" spans="1:8" ht="15.75" x14ac:dyDescent="0.25">
      <c r="A59" s="29">
        <v>2</v>
      </c>
      <c r="B59" s="10" t="s">
        <v>29</v>
      </c>
      <c r="C59" s="11" t="s">
        <v>35</v>
      </c>
      <c r="D59" s="16" t="s">
        <v>33</v>
      </c>
      <c r="E59" s="11">
        <v>1</v>
      </c>
      <c r="F59" s="28">
        <v>1</v>
      </c>
      <c r="G59" s="9">
        <f t="shared" si="5"/>
        <v>1</v>
      </c>
      <c r="H59" s="9" t="s">
        <v>6</v>
      </c>
    </row>
    <row r="60" spans="1:8" ht="15.75" x14ac:dyDescent="0.25">
      <c r="A60" s="29">
        <v>3</v>
      </c>
      <c r="B60" s="10" t="s">
        <v>81</v>
      </c>
      <c r="C60" s="11" t="s">
        <v>35</v>
      </c>
      <c r="D60" s="11" t="s">
        <v>44</v>
      </c>
      <c r="E60" s="11">
        <v>1</v>
      </c>
      <c r="F60" s="28">
        <v>1</v>
      </c>
      <c r="G60" s="9">
        <f t="shared" si="5"/>
        <v>1</v>
      </c>
      <c r="H60" s="9" t="s">
        <v>6</v>
      </c>
    </row>
    <row r="61" spans="1:8" ht="15.75" x14ac:dyDescent="0.25">
      <c r="A61" s="29">
        <v>4</v>
      </c>
      <c r="B61" s="7" t="s">
        <v>116</v>
      </c>
      <c r="C61" s="8" t="s">
        <v>7</v>
      </c>
      <c r="D61" s="16"/>
      <c r="E61" s="8">
        <v>1</v>
      </c>
      <c r="F61" s="28">
        <v>1</v>
      </c>
      <c r="G61" s="2">
        <f t="shared" si="5"/>
        <v>1</v>
      </c>
      <c r="H61" s="2" t="s">
        <v>6</v>
      </c>
    </row>
    <row r="62" spans="1:8" ht="15.75" x14ac:dyDescent="0.25">
      <c r="A62" s="29">
        <v>5</v>
      </c>
      <c r="B62" s="10" t="s">
        <v>26</v>
      </c>
      <c r="C62" s="11" t="s">
        <v>18</v>
      </c>
      <c r="D62" s="11"/>
      <c r="E62" s="11">
        <v>3</v>
      </c>
      <c r="F62" s="28">
        <v>1</v>
      </c>
      <c r="G62" s="9">
        <f t="shared" si="5"/>
        <v>3</v>
      </c>
      <c r="H62" s="9" t="s">
        <v>6</v>
      </c>
    </row>
    <row r="63" spans="1:8" ht="15.75" x14ac:dyDescent="0.25">
      <c r="A63" s="29">
        <v>6</v>
      </c>
      <c r="B63" s="10" t="s">
        <v>27</v>
      </c>
      <c r="C63" s="11" t="s">
        <v>19</v>
      </c>
      <c r="D63" s="11"/>
      <c r="E63" s="11">
        <v>1</v>
      </c>
      <c r="F63" s="28">
        <v>1</v>
      </c>
      <c r="G63" s="9">
        <f t="shared" si="5"/>
        <v>1</v>
      </c>
      <c r="H63" s="9" t="s">
        <v>43</v>
      </c>
    </row>
    <row r="64" spans="1:8" s="25" customFormat="1" ht="15.75" x14ac:dyDescent="0.25">
      <c r="A64" s="12">
        <v>5</v>
      </c>
      <c r="B64" s="13" t="s">
        <v>115</v>
      </c>
      <c r="C64" s="30"/>
      <c r="D64" s="30"/>
      <c r="E64" s="19">
        <v>1</v>
      </c>
      <c r="F64" s="19">
        <v>2</v>
      </c>
      <c r="G64" s="14">
        <f t="shared" ref="G64:G70" si="6">E64*F64</f>
        <v>2</v>
      </c>
      <c r="H64" s="14" t="s">
        <v>6</v>
      </c>
    </row>
    <row r="65" spans="1:8" x14ac:dyDescent="0.25">
      <c r="A65" s="29">
        <v>1</v>
      </c>
      <c r="B65" s="10" t="s">
        <v>57</v>
      </c>
      <c r="C65" s="11" t="s">
        <v>35</v>
      </c>
      <c r="D65" s="16" t="s">
        <v>45</v>
      </c>
      <c r="E65" s="11">
        <v>1</v>
      </c>
      <c r="F65" s="11">
        <v>2</v>
      </c>
      <c r="G65" s="9">
        <f t="shared" si="6"/>
        <v>2</v>
      </c>
      <c r="H65" s="9" t="s">
        <v>6</v>
      </c>
    </row>
    <row r="66" spans="1:8" x14ac:dyDescent="0.25">
      <c r="A66" s="29">
        <v>2</v>
      </c>
      <c r="B66" s="7" t="s">
        <v>29</v>
      </c>
      <c r="C66" s="8" t="s">
        <v>35</v>
      </c>
      <c r="D66" s="16" t="s">
        <v>33</v>
      </c>
      <c r="E66" s="8">
        <v>1</v>
      </c>
      <c r="F66" s="11">
        <v>2</v>
      </c>
      <c r="G66" s="2">
        <f t="shared" si="6"/>
        <v>2</v>
      </c>
      <c r="H66" s="2" t="s">
        <v>6</v>
      </c>
    </row>
    <row r="67" spans="1:8" s="4" customFormat="1" x14ac:dyDescent="0.25">
      <c r="A67" s="29">
        <v>3</v>
      </c>
      <c r="B67" s="10" t="s">
        <v>54</v>
      </c>
      <c r="C67" s="11" t="s">
        <v>35</v>
      </c>
      <c r="D67" s="11" t="s">
        <v>51</v>
      </c>
      <c r="E67" s="11">
        <v>1</v>
      </c>
      <c r="F67" s="11">
        <v>2</v>
      </c>
      <c r="G67" s="9">
        <f t="shared" si="6"/>
        <v>2</v>
      </c>
      <c r="H67" s="9" t="s">
        <v>6</v>
      </c>
    </row>
    <row r="68" spans="1:8" s="25" customFormat="1" x14ac:dyDescent="0.25">
      <c r="A68" s="29">
        <v>4</v>
      </c>
      <c r="B68" s="10" t="s">
        <v>88</v>
      </c>
      <c r="C68" s="11" t="s">
        <v>7</v>
      </c>
      <c r="D68" s="15"/>
      <c r="E68" s="11">
        <v>1</v>
      </c>
      <c r="F68" s="11">
        <v>2</v>
      </c>
      <c r="G68" s="9">
        <f t="shared" si="6"/>
        <v>2</v>
      </c>
      <c r="H68" s="9" t="s">
        <v>6</v>
      </c>
    </row>
    <row r="69" spans="1:8" x14ac:dyDescent="0.25">
      <c r="A69" s="29">
        <v>5</v>
      </c>
      <c r="B69" s="7" t="s">
        <v>26</v>
      </c>
      <c r="C69" s="8" t="s">
        <v>18</v>
      </c>
      <c r="D69" s="16"/>
      <c r="E69" s="8">
        <v>3</v>
      </c>
      <c r="F69" s="11">
        <v>2</v>
      </c>
      <c r="G69" s="2">
        <f t="shared" si="6"/>
        <v>6</v>
      </c>
      <c r="H69" s="2" t="s">
        <v>6</v>
      </c>
    </row>
    <row r="70" spans="1:8" x14ac:dyDescent="0.25">
      <c r="A70" s="29">
        <v>6</v>
      </c>
      <c r="B70" s="7" t="s">
        <v>27</v>
      </c>
      <c r="C70" s="8" t="s">
        <v>19</v>
      </c>
      <c r="D70" s="16"/>
      <c r="E70" s="8">
        <v>1</v>
      </c>
      <c r="F70" s="11">
        <v>2</v>
      </c>
      <c r="G70" s="2">
        <f t="shared" si="6"/>
        <v>2</v>
      </c>
      <c r="H70" s="2" t="s">
        <v>43</v>
      </c>
    </row>
    <row r="71" spans="1:8" s="25" customFormat="1" ht="15.75" x14ac:dyDescent="0.25">
      <c r="A71" s="12">
        <v>6</v>
      </c>
      <c r="B71" s="13" t="s">
        <v>129</v>
      </c>
      <c r="C71" s="30"/>
      <c r="D71" s="30"/>
      <c r="E71" s="19">
        <v>1</v>
      </c>
      <c r="F71" s="19">
        <v>6</v>
      </c>
      <c r="G71" s="14">
        <f t="shared" ref="G71:G77" si="7">E71*F71</f>
        <v>6</v>
      </c>
      <c r="H71" s="14" t="s">
        <v>6</v>
      </c>
    </row>
    <row r="72" spans="1:8" ht="15.75" x14ac:dyDescent="0.25">
      <c r="A72" s="29">
        <v>1</v>
      </c>
      <c r="B72" s="10" t="s">
        <v>60</v>
      </c>
      <c r="C72" s="11" t="s">
        <v>35</v>
      </c>
      <c r="D72" s="16" t="s">
        <v>85</v>
      </c>
      <c r="E72" s="11">
        <v>1</v>
      </c>
      <c r="F72" s="28">
        <v>6</v>
      </c>
      <c r="G72" s="9">
        <f>E72*F72</f>
        <v>6</v>
      </c>
      <c r="H72" s="9" t="s">
        <v>6</v>
      </c>
    </row>
    <row r="73" spans="1:8" ht="15.75" x14ac:dyDescent="0.25">
      <c r="A73" s="29">
        <v>2</v>
      </c>
      <c r="B73" s="10" t="s">
        <v>20</v>
      </c>
      <c r="C73" s="11" t="s">
        <v>35</v>
      </c>
      <c r="D73" s="16" t="s">
        <v>38</v>
      </c>
      <c r="E73" s="11">
        <v>1</v>
      </c>
      <c r="F73" s="28">
        <v>6</v>
      </c>
      <c r="G73" s="9">
        <f t="shared" si="7"/>
        <v>6</v>
      </c>
      <c r="H73" s="9" t="s">
        <v>6</v>
      </c>
    </row>
    <row r="74" spans="1:8" s="4" customFormat="1" ht="15.75" x14ac:dyDescent="0.25">
      <c r="A74" s="29">
        <v>3</v>
      </c>
      <c r="B74" s="10" t="s">
        <v>52</v>
      </c>
      <c r="C74" s="11" t="s">
        <v>35</v>
      </c>
      <c r="D74" s="11" t="s">
        <v>40</v>
      </c>
      <c r="E74" s="11">
        <v>1</v>
      </c>
      <c r="F74" s="28">
        <v>6</v>
      </c>
      <c r="G74" s="9">
        <f t="shared" si="7"/>
        <v>6</v>
      </c>
      <c r="H74" s="9" t="s">
        <v>6</v>
      </c>
    </row>
    <row r="75" spans="1:8" ht="15.75" x14ac:dyDescent="0.25">
      <c r="A75" s="29">
        <v>4</v>
      </c>
      <c r="B75" s="7" t="s">
        <v>88</v>
      </c>
      <c r="C75" s="8" t="s">
        <v>7</v>
      </c>
      <c r="D75" s="16"/>
      <c r="E75" s="8">
        <v>1</v>
      </c>
      <c r="F75" s="28">
        <v>6</v>
      </c>
      <c r="G75" s="2">
        <f>E75*F75</f>
        <v>6</v>
      </c>
      <c r="H75" s="2" t="s">
        <v>6</v>
      </c>
    </row>
    <row r="76" spans="1:8" ht="15.75" x14ac:dyDescent="0.25">
      <c r="A76" s="29">
        <v>5</v>
      </c>
      <c r="B76" s="7" t="s">
        <v>26</v>
      </c>
      <c r="C76" s="8" t="s">
        <v>18</v>
      </c>
      <c r="D76" s="8"/>
      <c r="E76" s="8">
        <v>3</v>
      </c>
      <c r="F76" s="28">
        <v>6</v>
      </c>
      <c r="G76" s="2">
        <f t="shared" si="7"/>
        <v>18</v>
      </c>
      <c r="H76" s="9" t="s">
        <v>6</v>
      </c>
    </row>
    <row r="77" spans="1:8" ht="15.75" x14ac:dyDescent="0.25">
      <c r="A77" s="29">
        <v>6</v>
      </c>
      <c r="B77" s="7" t="s">
        <v>27</v>
      </c>
      <c r="C77" s="8" t="s">
        <v>19</v>
      </c>
      <c r="D77" s="8"/>
      <c r="E77" s="8">
        <v>1</v>
      </c>
      <c r="F77" s="28">
        <v>6</v>
      </c>
      <c r="G77" s="2">
        <f t="shared" si="7"/>
        <v>6</v>
      </c>
      <c r="H77" s="9" t="s">
        <v>43</v>
      </c>
    </row>
    <row r="78" spans="1:8" s="25" customFormat="1" ht="15.75" x14ac:dyDescent="0.25">
      <c r="A78" s="12">
        <v>7</v>
      </c>
      <c r="B78" s="13" t="s">
        <v>90</v>
      </c>
      <c r="C78" s="30"/>
      <c r="D78" s="30"/>
      <c r="E78" s="19">
        <v>1</v>
      </c>
      <c r="F78" s="19">
        <v>2</v>
      </c>
      <c r="G78" s="14">
        <f t="shared" ref="G78:G86" si="8">E78*F78</f>
        <v>2</v>
      </c>
      <c r="H78" s="14" t="s">
        <v>6</v>
      </c>
    </row>
    <row r="79" spans="1:8" x14ac:dyDescent="0.25">
      <c r="A79" s="29">
        <v>1</v>
      </c>
      <c r="B79" s="10" t="s">
        <v>86</v>
      </c>
      <c r="C79" s="11" t="s">
        <v>35</v>
      </c>
      <c r="D79" s="11" t="s">
        <v>91</v>
      </c>
      <c r="E79" s="11">
        <v>1</v>
      </c>
      <c r="F79" s="11">
        <v>2</v>
      </c>
      <c r="G79" s="9">
        <f t="shared" si="8"/>
        <v>2</v>
      </c>
      <c r="H79" s="9" t="s">
        <v>6</v>
      </c>
    </row>
    <row r="80" spans="1:8" x14ac:dyDescent="0.25">
      <c r="A80" s="29">
        <v>2</v>
      </c>
      <c r="B80" s="10" t="s">
        <v>49</v>
      </c>
      <c r="C80" s="11" t="s">
        <v>35</v>
      </c>
      <c r="D80" s="11" t="s">
        <v>50</v>
      </c>
      <c r="E80" s="11">
        <v>2</v>
      </c>
      <c r="F80" s="11">
        <v>2</v>
      </c>
      <c r="G80" s="9">
        <f t="shared" si="8"/>
        <v>4</v>
      </c>
      <c r="H80" s="9" t="s">
        <v>6</v>
      </c>
    </row>
    <row r="81" spans="1:8" x14ac:dyDescent="0.25">
      <c r="A81" s="29">
        <v>3</v>
      </c>
      <c r="B81" s="10" t="s">
        <v>87</v>
      </c>
      <c r="C81" s="11" t="s">
        <v>35</v>
      </c>
      <c r="D81" s="22" t="s">
        <v>48</v>
      </c>
      <c r="E81" s="11">
        <v>1</v>
      </c>
      <c r="F81" s="11">
        <v>2</v>
      </c>
      <c r="G81" s="9">
        <f t="shared" si="8"/>
        <v>2</v>
      </c>
      <c r="H81" s="9" t="s">
        <v>6</v>
      </c>
    </row>
    <row r="82" spans="1:8" x14ac:dyDescent="0.25">
      <c r="A82" s="29">
        <v>4</v>
      </c>
      <c r="B82" s="10" t="s">
        <v>41</v>
      </c>
      <c r="C82" s="11" t="s">
        <v>35</v>
      </c>
      <c r="D82" s="11" t="s">
        <v>39</v>
      </c>
      <c r="E82" s="11">
        <v>1</v>
      </c>
      <c r="F82" s="11">
        <v>2</v>
      </c>
      <c r="G82" s="9">
        <f t="shared" ref="G82" si="9">E82*F82</f>
        <v>2</v>
      </c>
      <c r="H82" s="9" t="s">
        <v>6</v>
      </c>
    </row>
    <row r="83" spans="1:8" x14ac:dyDescent="0.25">
      <c r="A83" s="29">
        <v>5</v>
      </c>
      <c r="B83" s="10" t="s">
        <v>144</v>
      </c>
      <c r="C83" s="11" t="s">
        <v>35</v>
      </c>
      <c r="D83" s="11" t="s">
        <v>145</v>
      </c>
      <c r="E83" s="11">
        <v>1</v>
      </c>
      <c r="F83" s="11">
        <v>2</v>
      </c>
      <c r="G83" s="9">
        <f t="shared" si="8"/>
        <v>2</v>
      </c>
      <c r="H83" s="9" t="s">
        <v>6</v>
      </c>
    </row>
    <row r="84" spans="1:8" x14ac:dyDescent="0.25">
      <c r="A84" s="29">
        <v>6</v>
      </c>
      <c r="B84" s="7" t="s">
        <v>130</v>
      </c>
      <c r="C84" s="11" t="s">
        <v>35</v>
      </c>
      <c r="D84" s="11" t="s">
        <v>131</v>
      </c>
      <c r="E84" s="11">
        <v>3</v>
      </c>
      <c r="F84" s="11">
        <v>2</v>
      </c>
      <c r="G84" s="9">
        <f t="shared" si="8"/>
        <v>6</v>
      </c>
      <c r="H84" s="9" t="s">
        <v>6</v>
      </c>
    </row>
    <row r="85" spans="1:8" x14ac:dyDescent="0.25">
      <c r="A85" s="29">
        <v>7</v>
      </c>
      <c r="B85" s="10" t="s">
        <v>21</v>
      </c>
      <c r="C85" s="11" t="s">
        <v>25</v>
      </c>
      <c r="D85" s="11"/>
      <c r="E85" s="11">
        <v>1</v>
      </c>
      <c r="F85" s="11">
        <v>2</v>
      </c>
      <c r="G85" s="9">
        <f t="shared" si="8"/>
        <v>2</v>
      </c>
      <c r="H85" s="9" t="s">
        <v>6</v>
      </c>
    </row>
    <row r="86" spans="1:8" x14ac:dyDescent="0.25">
      <c r="A86" s="29">
        <v>8</v>
      </c>
      <c r="B86" s="7" t="s">
        <v>88</v>
      </c>
      <c r="C86" s="8" t="s">
        <v>7</v>
      </c>
      <c r="D86" s="16"/>
      <c r="E86" s="8">
        <v>1</v>
      </c>
      <c r="F86" s="11">
        <v>2</v>
      </c>
      <c r="G86" s="2">
        <f t="shared" si="8"/>
        <v>2</v>
      </c>
      <c r="H86" s="2" t="s">
        <v>6</v>
      </c>
    </row>
    <row r="87" spans="1:8" x14ac:dyDescent="0.25">
      <c r="A87" s="29">
        <v>9</v>
      </c>
      <c r="B87" s="10" t="s">
        <v>89</v>
      </c>
      <c r="C87" s="11" t="s">
        <v>18</v>
      </c>
      <c r="D87" s="8"/>
      <c r="E87" s="11">
        <v>6</v>
      </c>
      <c r="F87" s="11">
        <v>2</v>
      </c>
      <c r="G87" s="9">
        <f t="shared" ref="G87:G89" si="10">E87*F87</f>
        <v>12</v>
      </c>
      <c r="H87" s="9" t="s">
        <v>6</v>
      </c>
    </row>
    <row r="88" spans="1:8" x14ac:dyDescent="0.25">
      <c r="A88" s="29">
        <v>10</v>
      </c>
      <c r="B88" s="10" t="s">
        <v>30</v>
      </c>
      <c r="C88" s="11" t="s">
        <v>19</v>
      </c>
      <c r="D88" s="8"/>
      <c r="E88" s="11">
        <v>1</v>
      </c>
      <c r="F88" s="11">
        <v>2</v>
      </c>
      <c r="G88" s="9">
        <f t="shared" si="10"/>
        <v>2</v>
      </c>
      <c r="H88" s="9" t="s">
        <v>43</v>
      </c>
    </row>
    <row r="89" spans="1:8" x14ac:dyDescent="0.25">
      <c r="A89" s="29">
        <v>11</v>
      </c>
      <c r="B89" s="10" t="s">
        <v>31</v>
      </c>
      <c r="C89" s="11" t="s">
        <v>19</v>
      </c>
      <c r="D89" s="8"/>
      <c r="E89" s="11">
        <v>1</v>
      </c>
      <c r="F89" s="11">
        <v>2</v>
      </c>
      <c r="G89" s="9">
        <f t="shared" si="10"/>
        <v>2</v>
      </c>
      <c r="H89" s="9" t="s">
        <v>43</v>
      </c>
    </row>
    <row r="90" spans="1:8" s="25" customFormat="1" ht="15.75" x14ac:dyDescent="0.25">
      <c r="A90" s="12">
        <v>8</v>
      </c>
      <c r="B90" s="13" t="s">
        <v>92</v>
      </c>
      <c r="C90" s="30"/>
      <c r="D90" s="30"/>
      <c r="E90" s="19">
        <v>1</v>
      </c>
      <c r="F90" s="19">
        <v>2</v>
      </c>
      <c r="G90" s="14">
        <f t="shared" ref="G90:G96" si="11">E90*F90</f>
        <v>2</v>
      </c>
      <c r="H90" s="14" t="s">
        <v>6</v>
      </c>
    </row>
    <row r="91" spans="1:8" x14ac:dyDescent="0.25">
      <c r="A91" s="29">
        <v>1</v>
      </c>
      <c r="B91" s="10" t="s">
        <v>57</v>
      </c>
      <c r="C91" s="11" t="s">
        <v>35</v>
      </c>
      <c r="D91" s="16" t="s">
        <v>45</v>
      </c>
      <c r="E91" s="11">
        <v>1</v>
      </c>
      <c r="F91" s="11">
        <v>2</v>
      </c>
      <c r="G91" s="9">
        <f t="shared" si="11"/>
        <v>2</v>
      </c>
      <c r="H91" s="9" t="s">
        <v>6</v>
      </c>
    </row>
    <row r="92" spans="1:8" x14ac:dyDescent="0.25">
      <c r="A92" s="29">
        <v>2</v>
      </c>
      <c r="B92" s="10" t="s">
        <v>29</v>
      </c>
      <c r="C92" s="11" t="s">
        <v>35</v>
      </c>
      <c r="D92" s="16" t="s">
        <v>33</v>
      </c>
      <c r="E92" s="11">
        <v>1</v>
      </c>
      <c r="F92" s="11">
        <v>2</v>
      </c>
      <c r="G92" s="9">
        <f t="shared" si="11"/>
        <v>2</v>
      </c>
      <c r="H92" s="9" t="s">
        <v>6</v>
      </c>
    </row>
    <row r="93" spans="1:8" s="4" customFormat="1" x14ac:dyDescent="0.25">
      <c r="A93" s="29">
        <v>3</v>
      </c>
      <c r="B93" s="10" t="s">
        <v>46</v>
      </c>
      <c r="C93" s="11" t="s">
        <v>35</v>
      </c>
      <c r="D93" s="11" t="s">
        <v>34</v>
      </c>
      <c r="E93" s="11">
        <v>1</v>
      </c>
      <c r="F93" s="11">
        <v>2</v>
      </c>
      <c r="G93" s="9">
        <f t="shared" si="11"/>
        <v>2</v>
      </c>
      <c r="H93" s="9" t="s">
        <v>6</v>
      </c>
    </row>
    <row r="94" spans="1:8" x14ac:dyDescent="0.25">
      <c r="A94" s="29">
        <v>4</v>
      </c>
      <c r="B94" s="7" t="s">
        <v>88</v>
      </c>
      <c r="C94" s="8" t="s">
        <v>7</v>
      </c>
      <c r="D94" s="16"/>
      <c r="E94" s="8">
        <v>1</v>
      </c>
      <c r="F94" s="11">
        <v>2</v>
      </c>
      <c r="G94" s="2">
        <f t="shared" si="11"/>
        <v>2</v>
      </c>
      <c r="H94" s="2" t="s">
        <v>6</v>
      </c>
    </row>
    <row r="95" spans="1:8" x14ac:dyDescent="0.25">
      <c r="A95" s="29">
        <v>5</v>
      </c>
      <c r="B95" s="10" t="s">
        <v>26</v>
      </c>
      <c r="C95" s="11" t="s">
        <v>18</v>
      </c>
      <c r="D95" s="11"/>
      <c r="E95" s="11">
        <v>3</v>
      </c>
      <c r="F95" s="11">
        <v>2</v>
      </c>
      <c r="G95" s="9">
        <f t="shared" si="11"/>
        <v>6</v>
      </c>
      <c r="H95" s="9" t="s">
        <v>6</v>
      </c>
    </row>
    <row r="96" spans="1:8" x14ac:dyDescent="0.25">
      <c r="A96" s="29">
        <v>6</v>
      </c>
      <c r="B96" s="10" t="s">
        <v>27</v>
      </c>
      <c r="C96" s="11" t="s">
        <v>19</v>
      </c>
      <c r="D96" s="11"/>
      <c r="E96" s="11">
        <v>1</v>
      </c>
      <c r="F96" s="11">
        <v>2</v>
      </c>
      <c r="G96" s="9">
        <f t="shared" si="11"/>
        <v>2</v>
      </c>
      <c r="H96" s="9" t="s">
        <v>43</v>
      </c>
    </row>
    <row r="97" spans="1:8" s="25" customFormat="1" ht="15.75" x14ac:dyDescent="0.25">
      <c r="A97" s="12">
        <v>9</v>
      </c>
      <c r="B97" s="13" t="s">
        <v>117</v>
      </c>
      <c r="C97" s="30"/>
      <c r="D97" s="30"/>
      <c r="E97" s="19">
        <v>1</v>
      </c>
      <c r="F97" s="19">
        <v>1</v>
      </c>
      <c r="G97" s="14">
        <v>1</v>
      </c>
      <c r="H97" s="14" t="s">
        <v>6</v>
      </c>
    </row>
    <row r="98" spans="1:8" s="5" customFormat="1" x14ac:dyDescent="0.25">
      <c r="A98" s="29">
        <v>1</v>
      </c>
      <c r="B98" s="10" t="s">
        <v>63</v>
      </c>
      <c r="C98" s="11" t="s">
        <v>35</v>
      </c>
      <c r="D98" s="8" t="s">
        <v>47</v>
      </c>
      <c r="E98" s="11">
        <v>4</v>
      </c>
      <c r="F98" s="11">
        <v>1</v>
      </c>
      <c r="G98" s="9">
        <f>E98*F98</f>
        <v>4</v>
      </c>
      <c r="H98" s="9" t="s">
        <v>6</v>
      </c>
    </row>
    <row r="99" spans="1:8" x14ac:dyDescent="0.25">
      <c r="A99" s="29">
        <v>2</v>
      </c>
      <c r="B99" s="10" t="s">
        <v>118</v>
      </c>
      <c r="C99" s="11" t="s">
        <v>35</v>
      </c>
      <c r="D99" s="8" t="s">
        <v>65</v>
      </c>
      <c r="E99" s="11">
        <v>1</v>
      </c>
      <c r="F99" s="11">
        <v>1</v>
      </c>
      <c r="G99" s="9">
        <f>E99*F99</f>
        <v>1</v>
      </c>
      <c r="H99" s="9" t="s">
        <v>6</v>
      </c>
    </row>
    <row r="100" spans="1:8" x14ac:dyDescent="0.25">
      <c r="A100" s="29">
        <v>3</v>
      </c>
      <c r="B100" s="7" t="s">
        <v>88</v>
      </c>
      <c r="C100" s="8" t="s">
        <v>7</v>
      </c>
      <c r="D100" s="11"/>
      <c r="E100" s="11">
        <v>4</v>
      </c>
      <c r="F100" s="11">
        <v>1</v>
      </c>
      <c r="G100" s="9">
        <f>E100*F100</f>
        <v>4</v>
      </c>
      <c r="H100" s="9" t="s">
        <v>6</v>
      </c>
    </row>
    <row r="101" spans="1:8" x14ac:dyDescent="0.25">
      <c r="A101" s="29">
        <v>4</v>
      </c>
      <c r="B101" s="10" t="s">
        <v>124</v>
      </c>
      <c r="C101" s="11" t="s">
        <v>18</v>
      </c>
      <c r="D101" s="11"/>
      <c r="E101" s="11">
        <v>12</v>
      </c>
      <c r="F101" s="11">
        <v>1</v>
      </c>
      <c r="G101" s="9">
        <f>E101*F101</f>
        <v>12</v>
      </c>
      <c r="H101" s="9" t="s">
        <v>6</v>
      </c>
    </row>
    <row r="102" spans="1:8" x14ac:dyDescent="0.25">
      <c r="A102" s="29">
        <v>5</v>
      </c>
      <c r="B102" s="10" t="s">
        <v>134</v>
      </c>
      <c r="C102" s="11" t="s">
        <v>18</v>
      </c>
      <c r="D102" s="11"/>
      <c r="E102" s="11">
        <v>2</v>
      </c>
      <c r="F102" s="11">
        <v>1</v>
      </c>
      <c r="G102" s="9">
        <f>E102*F102</f>
        <v>2</v>
      </c>
      <c r="H102" s="9" t="s">
        <v>6</v>
      </c>
    </row>
    <row r="103" spans="1:8" x14ac:dyDescent="0.25">
      <c r="A103" s="29">
        <v>6</v>
      </c>
      <c r="B103" s="10" t="s">
        <v>132</v>
      </c>
      <c r="C103" s="11" t="s">
        <v>18</v>
      </c>
      <c r="D103" s="11"/>
      <c r="E103" s="11">
        <v>9</v>
      </c>
      <c r="F103" s="11">
        <v>1</v>
      </c>
      <c r="G103" s="9">
        <f t="shared" ref="G103:G104" si="12">E103*F103</f>
        <v>9</v>
      </c>
      <c r="H103" s="9" t="s">
        <v>6</v>
      </c>
    </row>
    <row r="104" spans="1:8" x14ac:dyDescent="0.25">
      <c r="A104" s="29">
        <v>7</v>
      </c>
      <c r="B104" s="10" t="s">
        <v>133</v>
      </c>
      <c r="C104" s="11" t="s">
        <v>18</v>
      </c>
      <c r="D104" s="11"/>
      <c r="E104" s="11">
        <v>1</v>
      </c>
      <c r="F104" s="11">
        <v>1</v>
      </c>
      <c r="G104" s="9">
        <f t="shared" si="12"/>
        <v>1</v>
      </c>
      <c r="H104" s="9" t="s">
        <v>6</v>
      </c>
    </row>
    <row r="105" spans="1:8" x14ac:dyDescent="0.25">
      <c r="A105" s="29">
        <v>8</v>
      </c>
      <c r="B105" s="10" t="s">
        <v>135</v>
      </c>
      <c r="C105" s="11" t="s">
        <v>18</v>
      </c>
      <c r="D105" s="11"/>
      <c r="E105" s="11">
        <v>12</v>
      </c>
      <c r="F105" s="11">
        <v>1</v>
      </c>
      <c r="G105" s="9">
        <f t="shared" ref="G105" si="13">E105*F105</f>
        <v>12</v>
      </c>
      <c r="H105" s="9" t="s">
        <v>6</v>
      </c>
    </row>
    <row r="106" spans="1:8" s="25" customFormat="1" x14ac:dyDescent="0.25">
      <c r="A106" s="33" t="s">
        <v>102</v>
      </c>
      <c r="B106" s="33"/>
      <c r="C106" s="33"/>
      <c r="D106" s="33"/>
      <c r="E106" s="33"/>
      <c r="F106" s="33"/>
      <c r="G106" s="33"/>
      <c r="H106" s="33"/>
    </row>
    <row r="107" spans="1:8" x14ac:dyDescent="0.25">
      <c r="A107" s="15">
        <v>1</v>
      </c>
      <c r="B107" s="26" t="s">
        <v>103</v>
      </c>
      <c r="C107" s="16" t="s">
        <v>104</v>
      </c>
      <c r="D107" s="16" t="s">
        <v>122</v>
      </c>
      <c r="E107" s="27">
        <v>1</v>
      </c>
      <c r="F107" s="27">
        <v>1</v>
      </c>
      <c r="G107" s="9">
        <v>1</v>
      </c>
      <c r="H107" s="9" t="s">
        <v>6</v>
      </c>
    </row>
    <row r="108" spans="1:8" x14ac:dyDescent="0.25">
      <c r="A108" s="15">
        <v>2</v>
      </c>
      <c r="B108" s="26" t="s">
        <v>105</v>
      </c>
      <c r="C108" s="16" t="s">
        <v>104</v>
      </c>
      <c r="D108" s="22" t="s">
        <v>146</v>
      </c>
      <c r="E108" s="16">
        <v>4</v>
      </c>
      <c r="F108" s="16">
        <v>1</v>
      </c>
      <c r="G108" s="16">
        <f t="shared" ref="G108:G119" si="14">E108*F108</f>
        <v>4</v>
      </c>
      <c r="H108" s="9" t="s">
        <v>6</v>
      </c>
    </row>
    <row r="109" spans="1:8" x14ac:dyDescent="0.25">
      <c r="A109" s="15">
        <v>3</v>
      </c>
      <c r="B109" s="26" t="s">
        <v>109</v>
      </c>
      <c r="C109" s="16" t="s">
        <v>104</v>
      </c>
      <c r="D109" s="16" t="s">
        <v>139</v>
      </c>
      <c r="E109" s="16">
        <v>2</v>
      </c>
      <c r="F109" s="27">
        <v>1</v>
      </c>
      <c r="G109" s="16">
        <f t="shared" si="14"/>
        <v>2</v>
      </c>
      <c r="H109" s="9" t="s">
        <v>6</v>
      </c>
    </row>
    <row r="110" spans="1:8" x14ac:dyDescent="0.25">
      <c r="A110" s="15">
        <v>4</v>
      </c>
      <c r="B110" s="26" t="s">
        <v>108</v>
      </c>
      <c r="C110" s="16" t="s">
        <v>104</v>
      </c>
      <c r="D110" s="16" t="s">
        <v>123</v>
      </c>
      <c r="E110" s="16">
        <v>2</v>
      </c>
      <c r="F110" s="16">
        <v>1</v>
      </c>
      <c r="G110" s="16">
        <f t="shared" si="14"/>
        <v>2</v>
      </c>
      <c r="H110" s="9" t="s">
        <v>6</v>
      </c>
    </row>
    <row r="111" spans="1:8" x14ac:dyDescent="0.25">
      <c r="A111" s="15">
        <v>5</v>
      </c>
      <c r="B111" s="26" t="s">
        <v>140</v>
      </c>
      <c r="C111" s="16" t="s">
        <v>104</v>
      </c>
      <c r="D111" s="16" t="s">
        <v>141</v>
      </c>
      <c r="E111" s="16">
        <v>1</v>
      </c>
      <c r="F111" s="27">
        <v>1</v>
      </c>
      <c r="G111" s="16">
        <f t="shared" si="14"/>
        <v>1</v>
      </c>
      <c r="H111" s="9" t="s">
        <v>6</v>
      </c>
    </row>
    <row r="112" spans="1:8" x14ac:dyDescent="0.25">
      <c r="A112" s="15">
        <v>6</v>
      </c>
      <c r="B112" s="26" t="s">
        <v>106</v>
      </c>
      <c r="C112" s="16" t="s">
        <v>136</v>
      </c>
      <c r="D112" s="26"/>
      <c r="E112" s="16">
        <v>1</v>
      </c>
      <c r="F112" s="16">
        <v>1</v>
      </c>
      <c r="G112" s="16">
        <f>E112*F112</f>
        <v>1</v>
      </c>
      <c r="H112" s="9" t="s">
        <v>6</v>
      </c>
    </row>
    <row r="113" spans="1:17" x14ac:dyDescent="0.25">
      <c r="A113" s="15">
        <v>7</v>
      </c>
      <c r="B113" s="26" t="s">
        <v>107</v>
      </c>
      <c r="C113" s="16" t="s">
        <v>136</v>
      </c>
      <c r="D113" s="26"/>
      <c r="E113" s="16">
        <v>4</v>
      </c>
      <c r="F113" s="27">
        <v>1</v>
      </c>
      <c r="G113" s="16">
        <f>E113*F113</f>
        <v>4</v>
      </c>
      <c r="H113" s="9" t="s">
        <v>6</v>
      </c>
    </row>
    <row r="114" spans="1:17" s="6" customFormat="1" x14ac:dyDescent="0.25">
      <c r="A114" s="15">
        <v>8</v>
      </c>
      <c r="B114" s="10" t="s">
        <v>153</v>
      </c>
      <c r="C114" s="11" t="s">
        <v>7</v>
      </c>
      <c r="D114" s="8"/>
      <c r="E114" s="11">
        <v>1</v>
      </c>
      <c r="F114" s="16">
        <v>1</v>
      </c>
      <c r="G114" s="9">
        <f t="shared" ref="G114:G116" si="15">E114*F114</f>
        <v>1</v>
      </c>
      <c r="H114" s="9" t="s">
        <v>6</v>
      </c>
      <c r="I114" s="5"/>
      <c r="J114" s="5"/>
      <c r="K114" s="5"/>
      <c r="L114" s="5"/>
      <c r="M114" s="5"/>
      <c r="N114" s="5"/>
      <c r="O114" s="5"/>
      <c r="P114" s="5"/>
      <c r="Q114" s="5"/>
    </row>
    <row r="115" spans="1:17" s="6" customFormat="1" x14ac:dyDescent="0.25">
      <c r="A115" s="15">
        <v>9</v>
      </c>
      <c r="B115" s="10" t="s">
        <v>151</v>
      </c>
      <c r="C115" s="11" t="s">
        <v>7</v>
      </c>
      <c r="D115" s="8"/>
      <c r="E115" s="11">
        <v>1</v>
      </c>
      <c r="F115" s="27">
        <v>1</v>
      </c>
      <c r="G115" s="9">
        <f t="shared" si="15"/>
        <v>1</v>
      </c>
      <c r="H115" s="9" t="s">
        <v>6</v>
      </c>
      <c r="I115" s="5"/>
      <c r="J115" s="5"/>
      <c r="K115" s="5"/>
      <c r="L115" s="5"/>
      <c r="M115" s="5"/>
      <c r="N115" s="5"/>
      <c r="O115" s="5"/>
      <c r="P115" s="5"/>
      <c r="Q115" s="5"/>
    </row>
    <row r="116" spans="1:17" s="6" customFormat="1" x14ac:dyDescent="0.25">
      <c r="A116" s="15">
        <v>10</v>
      </c>
      <c r="B116" s="10" t="s">
        <v>152</v>
      </c>
      <c r="C116" s="11" t="s">
        <v>7</v>
      </c>
      <c r="D116" s="8"/>
      <c r="E116" s="11">
        <v>1</v>
      </c>
      <c r="F116" s="16">
        <v>1</v>
      </c>
      <c r="G116" s="9">
        <f t="shared" si="15"/>
        <v>1</v>
      </c>
      <c r="H116" s="9" t="s">
        <v>6</v>
      </c>
      <c r="I116" s="5"/>
      <c r="J116" s="5"/>
      <c r="K116" s="5"/>
      <c r="L116" s="5"/>
      <c r="M116" s="5"/>
      <c r="N116" s="5"/>
      <c r="O116" s="5"/>
      <c r="P116" s="5"/>
      <c r="Q116" s="5"/>
    </row>
    <row r="117" spans="1:17" x14ac:dyDescent="0.25">
      <c r="A117" s="15">
        <v>11</v>
      </c>
      <c r="B117" s="26" t="s">
        <v>101</v>
      </c>
      <c r="C117" s="16" t="s">
        <v>147</v>
      </c>
      <c r="D117" s="26"/>
      <c r="E117" s="16">
        <v>1</v>
      </c>
      <c r="F117" s="27">
        <v>1</v>
      </c>
      <c r="G117" s="16">
        <f>E117*F117</f>
        <v>1</v>
      </c>
      <c r="H117" s="9" t="s">
        <v>6</v>
      </c>
    </row>
    <row r="118" spans="1:17" x14ac:dyDescent="0.25">
      <c r="A118" s="15">
        <v>12</v>
      </c>
      <c r="B118" s="26" t="s">
        <v>148</v>
      </c>
      <c r="C118" s="11" t="s">
        <v>18</v>
      </c>
      <c r="D118" s="26"/>
      <c r="E118" s="16">
        <v>50</v>
      </c>
      <c r="F118" s="16">
        <v>1</v>
      </c>
      <c r="G118" s="16">
        <f t="shared" ref="G118" si="16">E118*F118</f>
        <v>50</v>
      </c>
      <c r="H118" s="9" t="s">
        <v>6</v>
      </c>
    </row>
    <row r="119" spans="1:17" x14ac:dyDescent="0.25">
      <c r="A119" s="15">
        <v>13</v>
      </c>
      <c r="B119" s="26" t="s">
        <v>150</v>
      </c>
      <c r="C119" s="11" t="s">
        <v>18</v>
      </c>
      <c r="D119" s="26"/>
      <c r="E119" s="16">
        <v>50</v>
      </c>
      <c r="F119" s="27">
        <v>1</v>
      </c>
      <c r="G119" s="16">
        <f t="shared" si="14"/>
        <v>50</v>
      </c>
      <c r="H119" s="9" t="s">
        <v>6</v>
      </c>
    </row>
    <row r="120" spans="1:17" x14ac:dyDescent="0.25">
      <c r="A120" s="15">
        <v>14</v>
      </c>
      <c r="B120" s="26" t="s">
        <v>149</v>
      </c>
      <c r="C120" s="11" t="s">
        <v>18</v>
      </c>
      <c r="D120" s="26"/>
      <c r="E120" s="16">
        <v>60</v>
      </c>
      <c r="F120" s="16">
        <v>1</v>
      </c>
      <c r="G120" s="16">
        <f t="shared" ref="G120" si="17">E120*F120</f>
        <v>60</v>
      </c>
      <c r="H120" s="9" t="s">
        <v>6</v>
      </c>
    </row>
  </sheetData>
  <mergeCells count="22">
    <mergeCell ref="C8:D8"/>
    <mergeCell ref="A1:D1"/>
    <mergeCell ref="E1:H1"/>
    <mergeCell ref="A2:D2"/>
    <mergeCell ref="E2:H2"/>
    <mergeCell ref="A3:D3"/>
    <mergeCell ref="E3:H3"/>
    <mergeCell ref="A4:B4"/>
    <mergeCell ref="E4:H4"/>
    <mergeCell ref="A5:B5"/>
    <mergeCell ref="E5:H5"/>
    <mergeCell ref="A6:H6"/>
    <mergeCell ref="C90:D90"/>
    <mergeCell ref="C43:D43"/>
    <mergeCell ref="C71:D71"/>
    <mergeCell ref="A106:H106"/>
    <mergeCell ref="C97:D97"/>
    <mergeCell ref="C36:D36"/>
    <mergeCell ref="C78:D78"/>
    <mergeCell ref="C64:D64"/>
    <mergeCell ref="C50:D50"/>
    <mergeCell ref="C57:D57"/>
  </mergeCells>
  <phoneticPr fontId="14" type="noConversion"/>
  <pageMargins left="0.70866141732283472" right="0.70866141732283472" top="0.74803149606299213" bottom="0.74803149606299213" header="0.31496062992125984" footer="0.31496062992125984"/>
  <pageSetup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BOM-637-MCC+PLC PANEL</vt:lpstr>
      <vt:lpstr>'BOM-637-MCC+PLC PANEL'!Print_Area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2026-01-05T09:50:33Z</dcterms:modified>
</cp:coreProperties>
</file>