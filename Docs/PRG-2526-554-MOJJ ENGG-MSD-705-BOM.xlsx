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DCCC9851-7F25-408F-8CEE-19D79341F2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JJ MCC" sheetId="25" r:id="rId1"/>
  </sheets>
  <definedNames>
    <definedName name="_xlnm.Print_Area" localSheetId="0">'MOJJ MCC'!$A$3:$H$231</definedName>
  </definedNames>
  <calcPr calcId="191029"/>
</workbook>
</file>

<file path=xl/calcChain.xml><?xml version="1.0" encoding="utf-8"?>
<calcChain xmlns="http://schemas.openxmlformats.org/spreadsheetml/2006/main">
  <c r="F158" i="25" l="1"/>
  <c r="G158" i="25" s="1"/>
  <c r="G211" i="25"/>
  <c r="G217" i="25"/>
  <c r="G183" i="25"/>
  <c r="G189" i="25"/>
  <c r="F185" i="25"/>
  <c r="G185" i="25" s="1"/>
  <c r="G186" i="25"/>
  <c r="G194" i="25"/>
  <c r="G195" i="25"/>
  <c r="G196" i="25"/>
  <c r="G197" i="25"/>
  <c r="G198" i="25"/>
  <c r="G199" i="25"/>
  <c r="G200" i="25"/>
  <c r="G201" i="25"/>
  <c r="G202" i="25"/>
  <c r="G203" i="25"/>
  <c r="G176" i="25"/>
  <c r="F175" i="25"/>
  <c r="G175" i="25" s="1"/>
  <c r="G174" i="25"/>
  <c r="G173" i="25"/>
  <c r="G172" i="25"/>
  <c r="G171" i="25"/>
  <c r="F170" i="25"/>
  <c r="G170" i="25" s="1"/>
  <c r="G169" i="25"/>
  <c r="G168" i="25"/>
  <c r="G167" i="25"/>
  <c r="G181" i="25"/>
  <c r="G156" i="25"/>
  <c r="F139" i="25"/>
  <c r="G139" i="25" s="1"/>
  <c r="F131" i="25"/>
  <c r="F135" i="25" s="1"/>
  <c r="G135" i="25" s="1"/>
  <c r="F130" i="25"/>
  <c r="G130" i="25" s="1"/>
  <c r="F129" i="25"/>
  <c r="G129" i="25" s="1"/>
  <c r="G128" i="25"/>
  <c r="G127" i="25"/>
  <c r="F126" i="25"/>
  <c r="G126" i="25" s="1"/>
  <c r="F118" i="25"/>
  <c r="G118" i="25" s="1"/>
  <c r="F117" i="25"/>
  <c r="G117" i="25" s="1"/>
  <c r="F116" i="25"/>
  <c r="G116" i="25" s="1"/>
  <c r="F115" i="25"/>
  <c r="G115" i="25" s="1"/>
  <c r="G114" i="25"/>
  <c r="G141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F85" i="25"/>
  <c r="G85" i="25" s="1"/>
  <c r="G84" i="25"/>
  <c r="F100" i="25"/>
  <c r="G100" i="25" s="1"/>
  <c r="F51" i="25"/>
  <c r="F52" i="25" s="1"/>
  <c r="G50" i="25"/>
  <c r="F68" i="25"/>
  <c r="F69" i="25" s="1"/>
  <c r="F34" i="25"/>
  <c r="G34" i="25" s="1"/>
  <c r="G33" i="25"/>
  <c r="G67" i="25"/>
  <c r="G204" i="25"/>
  <c r="G215" i="25"/>
  <c r="G216" i="25"/>
  <c r="G218" i="25"/>
  <c r="G219" i="25"/>
  <c r="G220" i="25"/>
  <c r="G210" i="25"/>
  <c r="G213" i="25"/>
  <c r="F166" i="25"/>
  <c r="G166" i="25" s="1"/>
  <c r="F190" i="25" l="1"/>
  <c r="F191" i="25" s="1"/>
  <c r="F133" i="25"/>
  <c r="F138" i="25" s="1"/>
  <c r="G138" i="25" s="1"/>
  <c r="G131" i="25"/>
  <c r="F137" i="25"/>
  <c r="G137" i="25" s="1"/>
  <c r="F132" i="25"/>
  <c r="G132" i="25" s="1"/>
  <c r="F136" i="25"/>
  <c r="G136" i="25" s="1"/>
  <c r="F134" i="25"/>
  <c r="G134" i="25" s="1"/>
  <c r="F119" i="25"/>
  <c r="G119" i="25" s="1"/>
  <c r="F123" i="25"/>
  <c r="G123" i="25" s="1"/>
  <c r="F120" i="25"/>
  <c r="G124" i="25"/>
  <c r="F121" i="25"/>
  <c r="G121" i="25" s="1"/>
  <c r="F122" i="25"/>
  <c r="G122" i="25" s="1"/>
  <c r="F101" i="25"/>
  <c r="F102" i="25" s="1"/>
  <c r="F103" i="25" s="1"/>
  <c r="F104" i="25" s="1"/>
  <c r="F105" i="25" s="1"/>
  <c r="G105" i="25" s="1"/>
  <c r="F53" i="25"/>
  <c r="G52" i="25"/>
  <c r="G51" i="25"/>
  <c r="G68" i="25"/>
  <c r="F35" i="25"/>
  <c r="F70" i="25"/>
  <c r="G69" i="25"/>
  <c r="F5" i="25"/>
  <c r="G5" i="25" s="1"/>
  <c r="G25" i="25"/>
  <c r="G20" i="25"/>
  <c r="G19" i="25"/>
  <c r="F159" i="25"/>
  <c r="G159" i="25" s="1"/>
  <c r="F228" i="25"/>
  <c r="F230" i="25" s="1"/>
  <c r="G192" i="25"/>
  <c r="G32" i="25"/>
  <c r="G214" i="25"/>
  <c r="G212" i="25"/>
  <c r="G209" i="25"/>
  <c r="G208" i="25"/>
  <c r="G206" i="25"/>
  <c r="G187" i="25" l="1"/>
  <c r="G133" i="25"/>
  <c r="F106" i="25"/>
  <c r="F107" i="25" s="1"/>
  <c r="F108" i="25" s="1"/>
  <c r="F109" i="25" s="1"/>
  <c r="F110" i="25" s="1"/>
  <c r="F111" i="25" s="1"/>
  <c r="F112" i="25" s="1"/>
  <c r="F113" i="25" s="1"/>
  <c r="F125" i="25"/>
  <c r="G125" i="25" s="1"/>
  <c r="G120" i="25"/>
  <c r="G53" i="25"/>
  <c r="F54" i="25"/>
  <c r="F36" i="25"/>
  <c r="G35" i="25"/>
  <c r="G70" i="25"/>
  <c r="F71" i="25"/>
  <c r="G228" i="25"/>
  <c r="G230" i="25"/>
  <c r="F55" i="25" l="1"/>
  <c r="G54" i="25"/>
  <c r="F37" i="25"/>
  <c r="G36" i="25"/>
  <c r="G71" i="25"/>
  <c r="F72" i="25"/>
  <c r="F57" i="25" l="1"/>
  <c r="G57" i="25" s="1"/>
  <c r="F56" i="25"/>
  <c r="G55" i="25"/>
  <c r="G37" i="25"/>
  <c r="F38" i="25"/>
  <c r="F74" i="25"/>
  <c r="G74" i="25" s="1"/>
  <c r="G72" i="25"/>
  <c r="F73" i="25"/>
  <c r="F180" i="25"/>
  <c r="G180" i="25" s="1"/>
  <c r="G179" i="25"/>
  <c r="G178" i="25"/>
  <c r="G177" i="25"/>
  <c r="G153" i="25"/>
  <c r="F161" i="25"/>
  <c r="G161" i="25" s="1"/>
  <c r="F160" i="25"/>
  <c r="G160" i="25" s="1"/>
  <c r="G164" i="25"/>
  <c r="G162" i="25"/>
  <c r="G157" i="25"/>
  <c r="G154" i="25"/>
  <c r="G56" i="25" l="1"/>
  <c r="F58" i="25"/>
  <c r="F40" i="25"/>
  <c r="G40" i="25" s="1"/>
  <c r="G38" i="25"/>
  <c r="F39" i="25"/>
  <c r="G73" i="25"/>
  <c r="F75" i="25"/>
  <c r="G193" i="25"/>
  <c r="G184" i="25"/>
  <c r="F152" i="25"/>
  <c r="F144" i="25"/>
  <c r="F150" i="25" s="1"/>
  <c r="G150" i="25" s="1"/>
  <c r="F143" i="25"/>
  <c r="G143" i="25" s="1"/>
  <c r="F142" i="25"/>
  <c r="G142" i="25" s="1"/>
  <c r="G140" i="25"/>
  <c r="F155" i="25" l="1"/>
  <c r="G155" i="25" s="1"/>
  <c r="F165" i="25"/>
  <c r="G165" i="25" s="1"/>
  <c r="F59" i="25"/>
  <c r="G58" i="25"/>
  <c r="F41" i="25"/>
  <c r="G39" i="25"/>
  <c r="F76" i="25"/>
  <c r="G75" i="25"/>
  <c r="G190" i="25"/>
  <c r="G152" i="25"/>
  <c r="G144" i="25"/>
  <c r="F145" i="25"/>
  <c r="F149" i="25"/>
  <c r="G149" i="25" s="1"/>
  <c r="F146" i="25"/>
  <c r="F148" i="25"/>
  <c r="G148" i="25" s="1"/>
  <c r="F147" i="25"/>
  <c r="G147" i="25" s="1"/>
  <c r="F163" i="25" l="1"/>
  <c r="G163" i="25" s="1"/>
  <c r="F61" i="25"/>
  <c r="G61" i="25" s="1"/>
  <c r="F60" i="25"/>
  <c r="G59" i="25"/>
  <c r="G41" i="25"/>
  <c r="F42" i="25"/>
  <c r="F78" i="25"/>
  <c r="G78" i="25" s="1"/>
  <c r="F77" i="25"/>
  <c r="G76" i="25"/>
  <c r="G205" i="25"/>
  <c r="F231" i="25"/>
  <c r="G231" i="25" s="1"/>
  <c r="G146" i="25"/>
  <c r="F151" i="25"/>
  <c r="G151" i="25" s="1"/>
  <c r="G145" i="25"/>
  <c r="G99" i="25"/>
  <c r="G101" i="25"/>
  <c r="G102" i="25"/>
  <c r="G103" i="25"/>
  <c r="G108" i="25"/>
  <c r="G104" i="25"/>
  <c r="G112" i="25"/>
  <c r="G113" i="25"/>
  <c r="G60" i="25" l="1"/>
  <c r="F62" i="25"/>
  <c r="F44" i="25"/>
  <c r="G44" i="25" s="1"/>
  <c r="F43" i="25"/>
  <c r="G42" i="25"/>
  <c r="G77" i="25"/>
  <c r="F79" i="25"/>
  <c r="G221" i="25"/>
  <c r="G207" i="25"/>
  <c r="G107" i="25"/>
  <c r="G110" i="25"/>
  <c r="G109" i="25"/>
  <c r="G111" i="25"/>
  <c r="G62" i="25" l="1"/>
  <c r="F63" i="25"/>
  <c r="F45" i="25"/>
  <c r="G43" i="25"/>
  <c r="G79" i="25"/>
  <c r="F80" i="25"/>
  <c r="F64" i="25" l="1"/>
  <c r="G63" i="25"/>
  <c r="G45" i="25"/>
  <c r="F46" i="25"/>
  <c r="G80" i="25"/>
  <c r="F81" i="25"/>
  <c r="G222" i="25"/>
  <c r="G223" i="25"/>
  <c r="G226" i="25"/>
  <c r="F65" i="25" l="1"/>
  <c r="G64" i="25"/>
  <c r="G46" i="25"/>
  <c r="F47" i="25"/>
  <c r="F82" i="25"/>
  <c r="G81" i="25"/>
  <c r="G65" i="25" l="1"/>
  <c r="F66" i="25"/>
  <c r="G66" i="25" s="1"/>
  <c r="F48" i="25"/>
  <c r="G47" i="25"/>
  <c r="G82" i="25"/>
  <c r="F83" i="25"/>
  <c r="G83" i="25" s="1"/>
  <c r="F49" i="25" l="1"/>
  <c r="G49" i="25" s="1"/>
  <c r="G48" i="25"/>
  <c r="G224" i="25" l="1"/>
  <c r="G182" i="25"/>
  <c r="G106" i="25"/>
  <c r="F4" i="25"/>
  <c r="G3" i="25"/>
  <c r="G4" i="25" l="1"/>
  <c r="F6" i="25"/>
  <c r="G225" i="25"/>
  <c r="F227" i="25"/>
  <c r="G188" i="25"/>
  <c r="F7" i="25" l="1"/>
  <c r="G6" i="25"/>
  <c r="G227" i="25"/>
  <c r="F229" i="25"/>
  <c r="G191" i="25"/>
  <c r="F8" i="25" l="1"/>
  <c r="G7" i="25"/>
  <c r="G229" i="25"/>
  <c r="F9" i="25" l="1"/>
  <c r="G8" i="25"/>
  <c r="F10" i="25" l="1"/>
  <c r="G9" i="25"/>
  <c r="F11" i="25" l="1"/>
  <c r="F12" i="25" s="1"/>
  <c r="F13" i="25" s="1"/>
  <c r="F14" i="25" s="1"/>
  <c r="F15" i="25" s="1"/>
  <c r="G10" i="25"/>
  <c r="F16" i="25" l="1"/>
  <c r="G15" i="25"/>
  <c r="G16" i="25" l="1"/>
  <c r="F17" i="25"/>
  <c r="F18" i="25" s="1"/>
  <c r="F21" i="25" l="1"/>
  <c r="F23" i="25" s="1"/>
  <c r="G23" i="25" s="1"/>
  <c r="G17" i="25"/>
  <c r="F22" i="25" l="1"/>
  <c r="G21" i="25"/>
  <c r="F24" i="25" l="1"/>
  <c r="G22" i="25"/>
  <c r="F26" i="25" l="1"/>
  <c r="G24" i="25"/>
  <c r="F27" i="25" l="1"/>
  <c r="G26" i="25"/>
  <c r="F28" i="25" l="1"/>
  <c r="G27" i="25"/>
  <c r="F29" i="25" l="1"/>
  <c r="G28" i="25"/>
  <c r="F30" i="25" l="1"/>
  <c r="G29" i="25"/>
  <c r="G30" i="25" l="1"/>
  <c r="G31" i="25" l="1"/>
</calcChain>
</file>

<file path=xl/sharedStrings.xml><?xml version="1.0" encoding="utf-8"?>
<sst xmlns="http://schemas.openxmlformats.org/spreadsheetml/2006/main" count="889" uniqueCount="206">
  <si>
    <t>MAKE</t>
  </si>
  <si>
    <t>PART NO</t>
  </si>
  <si>
    <t>UOM</t>
  </si>
  <si>
    <t>Nos.</t>
  </si>
  <si>
    <t>2A, 1P, 10kA, C-Curve MCB, for RYB indication lamps</t>
  </si>
  <si>
    <t>Teknic</t>
  </si>
  <si>
    <t>Neutral Link</t>
  </si>
  <si>
    <t>STD.</t>
  </si>
  <si>
    <t>Red Indication Lamp, 230VAC supply voltage</t>
  </si>
  <si>
    <t>Yellow Indication Lamp, 230VAC supply voltage</t>
  </si>
  <si>
    <t>Blue Indication Lamp, 230VAC supply voltage</t>
  </si>
  <si>
    <t>Conzerv</t>
  </si>
  <si>
    <t>ITEM DESCRIPTIONS</t>
  </si>
  <si>
    <t>SR NO.</t>
  </si>
  <si>
    <t>Digital MFM- EM 6436 With RS 485 Communication</t>
  </si>
  <si>
    <t>A</t>
  </si>
  <si>
    <t>Trip (Amber) Indication lamp, 230VAC supply voltage</t>
  </si>
  <si>
    <t>Elmex</t>
  </si>
  <si>
    <t>Mtrs</t>
  </si>
  <si>
    <t>Aux. relay 2 c/o with base &amp; pin, 230VAC</t>
  </si>
  <si>
    <t>Omron</t>
  </si>
  <si>
    <t>Salzer</t>
  </si>
  <si>
    <t>Control terminals 4Sq.mm, Gray</t>
  </si>
  <si>
    <t>S/D timer 0-60 Sec</t>
  </si>
  <si>
    <t>Digital Voltmeter (0-500 Volt)</t>
  </si>
  <si>
    <t>Ammeter Selecter Switch</t>
  </si>
  <si>
    <t>Voltmeter Selector Switch</t>
  </si>
  <si>
    <t>3PLBR4L</t>
  </si>
  <si>
    <t>3PLBR3L</t>
  </si>
  <si>
    <t>3PLBR5L</t>
  </si>
  <si>
    <t>2AM4</t>
  </si>
  <si>
    <t>Start (Green) Illuminated Push button</t>
  </si>
  <si>
    <t>2ALRF3</t>
  </si>
  <si>
    <t>EM 6436</t>
  </si>
  <si>
    <t>GIC</t>
  </si>
  <si>
    <t>Stop PB Mh. Head</t>
  </si>
  <si>
    <t>Power terminals 10Sq.mm, RYB</t>
  </si>
  <si>
    <t>Power terminals 6Sq.mm, RYB</t>
  </si>
  <si>
    <t>6A, 1P, 10kA, C-Curve MCB</t>
  </si>
  <si>
    <t xml:space="preserve">6A, 3P, 10kA, C-Curve MCB, </t>
  </si>
  <si>
    <t>Power contactor 3P,9Amp with coil voltage 230VAC</t>
  </si>
  <si>
    <t>3NO And 1NC contact block As per requirement</t>
  </si>
  <si>
    <t xml:space="preserve"> </t>
  </si>
  <si>
    <t>DOL FEEDER 0.75 KW 1 NOS</t>
  </si>
  <si>
    <t>Power contactor 3P,12Amp with coil voltage 230VAC (S)</t>
  </si>
  <si>
    <t>Sahara</t>
  </si>
  <si>
    <t>C</t>
  </si>
  <si>
    <t>Yellow PB for Speed Increase</t>
  </si>
  <si>
    <t>Blue PB for Speed Decrease</t>
  </si>
  <si>
    <t>6A, 2P, 10kA, C-Curve MCB</t>
  </si>
  <si>
    <t>Meanwell</t>
  </si>
  <si>
    <t>Door Limit Switch</t>
  </si>
  <si>
    <t>B</t>
  </si>
  <si>
    <t>Rishabh</t>
  </si>
  <si>
    <t>Kaycee</t>
  </si>
  <si>
    <t>Oreva</t>
  </si>
  <si>
    <t>Rexnord</t>
  </si>
  <si>
    <t>Air Filter 6"</t>
  </si>
  <si>
    <t>Ellettro</t>
  </si>
  <si>
    <t>-</t>
  </si>
  <si>
    <t xml:space="preserve">6A, 2P, 10kA, C-Curve MCB, </t>
  </si>
  <si>
    <t>Fan 6"inch 230VAC with grill</t>
  </si>
  <si>
    <t>Extended door mounting handle</t>
  </si>
  <si>
    <t>6A, 1P, 10kA, C-Curve MCB- Control supply</t>
  </si>
  <si>
    <t>DOL FEEDER 0.17 KW 1 NOS</t>
  </si>
  <si>
    <t>Overload Relay 7-10A</t>
  </si>
  <si>
    <t>Amber Trip Indication lamp 230VAC supply voltage</t>
  </si>
  <si>
    <r>
      <rPr>
        <sz val="11"/>
        <rFont val="Calibri"/>
        <family val="2"/>
        <scheme val="minor"/>
      </rPr>
      <t>Nos.</t>
    </r>
  </si>
  <si>
    <t>16A, 4P, 10kA, C-Curve MCB</t>
  </si>
  <si>
    <t>ON (GREEN) Indication lamp, 230VAC supply voltage</t>
  </si>
  <si>
    <t>ON (GREEN) Indication lamp, 24VDC supply voltage</t>
  </si>
  <si>
    <t>SMPS 5A 24VDC POWER SUPPLY</t>
  </si>
  <si>
    <r>
      <rPr>
        <b/>
        <sz val="11"/>
        <rFont val="Calibri"/>
        <family val="2"/>
      </rPr>
      <t>ITEM
QTY</t>
    </r>
  </si>
  <si>
    <r>
      <rPr>
        <b/>
        <sz val="11"/>
        <rFont val="Calibri"/>
        <family val="2"/>
      </rPr>
      <t>FDR
QTY</t>
    </r>
  </si>
  <si>
    <r>
      <rPr>
        <b/>
        <sz val="11"/>
        <rFont val="Calibri"/>
        <family val="2"/>
      </rPr>
      <t>TOTAL
QTY</t>
    </r>
  </si>
  <si>
    <t xml:space="preserve">Fuse Base 160AMP </t>
  </si>
  <si>
    <t>ABB</t>
  </si>
  <si>
    <t>VFD 1.5kW</t>
  </si>
  <si>
    <t>EAPL</t>
  </si>
  <si>
    <t>10 Point Sequential Timer</t>
  </si>
  <si>
    <t>PLC SECTION</t>
  </si>
  <si>
    <t>8 Channel 24VDC Relay Board</t>
  </si>
  <si>
    <t>Fuse Terminals</t>
  </si>
  <si>
    <t>250mA Fuse</t>
  </si>
  <si>
    <t>500mA Fuse</t>
  </si>
  <si>
    <t>2A Fuse</t>
  </si>
  <si>
    <t xml:space="preserve">10A, 2P, 10kA, C-Curve MCB, </t>
  </si>
  <si>
    <t>Schneider</t>
  </si>
  <si>
    <t xml:space="preserve">24 VDC  Ethernet Switch </t>
  </si>
  <si>
    <t>SUPPLY TO HMI</t>
  </si>
  <si>
    <t>Fuse Terminals with 2Amp Fuse</t>
  </si>
  <si>
    <t>24VDC On Indication (GREEN)</t>
  </si>
  <si>
    <t xml:space="preserve">230VAC On Indication (RED) </t>
  </si>
  <si>
    <t>Shavison</t>
  </si>
  <si>
    <t>BMXDDI3202K</t>
  </si>
  <si>
    <t>BMXDDO3202K</t>
  </si>
  <si>
    <t>MCC SECTION</t>
  </si>
  <si>
    <t xml:space="preserve">SSW 3 Position </t>
  </si>
  <si>
    <t>Tubelight 1ph 230VAC, 5W</t>
  </si>
  <si>
    <t xml:space="preserve">CTTB </t>
  </si>
  <si>
    <t>Loc/Rem Ssw 3Pos.</t>
  </si>
  <si>
    <t>4NO Add On Block</t>
  </si>
  <si>
    <t>Spreader Links</t>
  </si>
  <si>
    <t>Power Terminals 6 SQMM R/N</t>
  </si>
  <si>
    <t>Aux. relay 4 c/o with base &amp; pin, 230VAC</t>
  </si>
  <si>
    <t>Diode Module 10A, 24VDC</t>
  </si>
  <si>
    <t>BMXCPS2000</t>
  </si>
  <si>
    <t>BMXAMI0800</t>
  </si>
  <si>
    <t>BMXAMO0802</t>
  </si>
  <si>
    <t>Hooter 24VDC</t>
  </si>
  <si>
    <t>A/M ssw 2 Pos</t>
  </si>
  <si>
    <r>
      <rPr>
        <sz val="11"/>
        <rFont val="Calibri"/>
        <family val="2"/>
      </rPr>
      <t>Schneider</t>
    </r>
  </si>
  <si>
    <r>
      <rPr>
        <sz val="11"/>
        <rFont val="Calibri"/>
        <family val="2"/>
      </rPr>
      <t>Nos.</t>
    </r>
  </si>
  <si>
    <r>
      <rPr>
        <sz val="11"/>
        <rFont val="Calibri"/>
        <family val="2"/>
      </rPr>
      <t>Lot</t>
    </r>
  </si>
  <si>
    <t>D</t>
  </si>
  <si>
    <t>PLC Control SECTION</t>
  </si>
  <si>
    <t>LV525452</t>
  </si>
  <si>
    <t>LV429338_IN</t>
  </si>
  <si>
    <t xml:space="preserve"> LV431563</t>
  </si>
  <si>
    <t>A9N1P02C</t>
  </si>
  <si>
    <t>A9N1P06C</t>
  </si>
  <si>
    <t>A9N3P06C</t>
  </si>
  <si>
    <t xml:space="preserve">16A, 2P, 10kA, C-Curve MCB, </t>
  </si>
  <si>
    <t>A9N2P16C</t>
  </si>
  <si>
    <t>Digital Ammeter (0-200 Amp)</t>
  </si>
  <si>
    <t>Current Transformer 200/5VA resin cast</t>
  </si>
  <si>
    <t>Power contactor 3P,9Amp with coil voltage 230VAC (S)</t>
  </si>
  <si>
    <t>LC1D09</t>
  </si>
  <si>
    <t>LADN40</t>
  </si>
  <si>
    <t>Green Indication Lamp, 230VAC supply voltage</t>
  </si>
  <si>
    <t>Control Transformer 1.5kVA, 415/230VAC</t>
  </si>
  <si>
    <t>VFD FEEDER 18.5 KW 1 NOS</t>
  </si>
  <si>
    <t>LV510455</t>
  </si>
  <si>
    <t>Fuse Link 50Amp</t>
  </si>
  <si>
    <t>(Customer Scope)</t>
  </si>
  <si>
    <t>VFD 18.5kW</t>
  </si>
  <si>
    <t>Power terminals 16Sq.mm, RYB</t>
  </si>
  <si>
    <t>6A, 3P, 10kA, C-Curve MCB- Power supply</t>
  </si>
  <si>
    <t>16A, 3P, 10kA, C-Curve MCB- Power supply</t>
  </si>
  <si>
    <t>A9N3P16C</t>
  </si>
  <si>
    <t>Fuse Link 10Amp</t>
  </si>
  <si>
    <t>VFD 3.7kW</t>
  </si>
  <si>
    <t>VFD FEEDER 3.7 KW 1 NOS</t>
  </si>
  <si>
    <t>VFD FEEDER 1.5 KW 1 NOS</t>
  </si>
  <si>
    <t>S/D FEEDER 11 KW 2 NOS</t>
  </si>
  <si>
    <t>MCCB 3P,100Amp</t>
  </si>
  <si>
    <t>MCCB 3P,50Amp</t>
  </si>
  <si>
    <t>LV510454</t>
  </si>
  <si>
    <t>Power contactor 3P,32Amp with coil voltage 230VAC (M+D)</t>
  </si>
  <si>
    <t>LR9D32</t>
  </si>
  <si>
    <t>LC1D32</t>
  </si>
  <si>
    <t>LC1D12</t>
  </si>
  <si>
    <t>S/D FEEDER 11 KW 1 NOS</t>
  </si>
  <si>
    <r>
      <t xml:space="preserve">Overload Relay 6.4-32Amp </t>
    </r>
    <r>
      <rPr>
        <sz val="11"/>
        <color rgb="FFFF0000"/>
        <rFont val="Calibri"/>
        <family val="2"/>
        <scheme val="minor"/>
      </rPr>
      <t>(Class-30)</t>
    </r>
  </si>
  <si>
    <t>Overload Relay 12-18Amp</t>
  </si>
  <si>
    <t>LRD21</t>
  </si>
  <si>
    <t>DOL FEEDER 3.7 KW 2 NOS</t>
  </si>
  <si>
    <t>Power contactor 3P,12Amp with coil voltage 230VAC</t>
  </si>
  <si>
    <t>LRD14</t>
  </si>
  <si>
    <t>LADN31</t>
  </si>
  <si>
    <t>Overload Relay 1.6-2.5A</t>
  </si>
  <si>
    <t>LRD07</t>
  </si>
  <si>
    <t>Overload Relay 0.63-1A</t>
  </si>
  <si>
    <t>LRD05</t>
  </si>
  <si>
    <t>SUPPLY FEEDER (BURNER MOTOR ) 0.75 KW 1 NOS</t>
  </si>
  <si>
    <t>6A, 4P, 10kA, C-Curve MCB</t>
  </si>
  <si>
    <t>A9N4P06C</t>
  </si>
  <si>
    <t>PRG-2526-554-BOM FOR MCC PANEL</t>
  </si>
  <si>
    <t>Power Terminals 6 SQMM R/Y/B/N</t>
  </si>
  <si>
    <t>2A, 1P, 10kA, C-Curve MCB</t>
  </si>
  <si>
    <t>Fuse Terminal</t>
  </si>
  <si>
    <t>SUPPLY FEEDER 1 NOS</t>
  </si>
  <si>
    <t>A9N4P16C</t>
  </si>
  <si>
    <t>10A, 2P, 10kA, C-Curve MCB</t>
  </si>
  <si>
    <t>A9N2P10C</t>
  </si>
  <si>
    <t>A9N2P06C</t>
  </si>
  <si>
    <t>HAMMER 230VAC SUPPLY</t>
  </si>
  <si>
    <t>6A, 2P, 10kA, C-Curve MCB- Power supply</t>
  </si>
  <si>
    <t>8 SLOTS BACKPLANE</t>
  </si>
  <si>
    <t xml:space="preserve"> STANDARD AC POWER SUPPLY</t>
  </si>
  <si>
    <t>CPU340-20 MODBUS ETHERNET</t>
  </si>
  <si>
    <t>DIG 32I 24 VDC SINK</t>
  </si>
  <si>
    <t xml:space="preserve"> FCN 2 X 20 WIRE 3M CABLE</t>
  </si>
  <si>
    <t>DIG 32Q TRANS SOURCE 0.1A</t>
  </si>
  <si>
    <t>Ana 8 U/I In No Isol Fast</t>
  </si>
  <si>
    <t>CAGED TERMINAL STRIP 28 POINTS</t>
  </si>
  <si>
    <t>Ana 8 Current Out No Isol</t>
  </si>
  <si>
    <t>SCREW TERMINAL STRIP 20 POINTS</t>
  </si>
  <si>
    <t>10"W Easy Touch Panel, Ethernet model</t>
  </si>
  <si>
    <t>BMXXBP0800</t>
  </si>
  <si>
    <t>BMXP342020</t>
  </si>
  <si>
    <t>BMXFCW303</t>
  </si>
  <si>
    <t>BMXFTB2800</t>
  </si>
  <si>
    <t>BMXFTB2010</t>
  </si>
  <si>
    <t>HMIET6500</t>
  </si>
  <si>
    <t>32A, 2P, 10kA,B36 MCB</t>
  </si>
  <si>
    <t>A9N2P32C</t>
  </si>
  <si>
    <t>E-Stop PB Mh. Head with NC Contact</t>
  </si>
  <si>
    <t>AlarmAccept Yellow PB with NO Contact</t>
  </si>
  <si>
    <t>Fuse Terminals with 2Amp Fuse (Indication Type)</t>
  </si>
  <si>
    <t>Power terminals 6Sq.mm, R/N</t>
  </si>
  <si>
    <t>E</t>
  </si>
  <si>
    <t>MAIN INCOMER, MCCB 3P,200 AMP</t>
  </si>
  <si>
    <t>MCCB 3P,200 AMP, 50kA</t>
  </si>
  <si>
    <t>PID Controller (NEX-605)</t>
  </si>
  <si>
    <t>RADIX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</si>
</sst>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0;#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1859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164" fontId="7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top"/>
    </xf>
    <xf numFmtId="0" fontId="0" fillId="2" borderId="0" xfId="0" applyFill="1"/>
    <xf numFmtId="165" fontId="6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9" fontId="8" fillId="2" borderId="0" xfId="0" applyNumberFormat="1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3">
    <cellStyle name="Comma 2" xfId="2" xr:uid="{00000000-0005-0000-0000-000001000000}"/>
    <cellStyle name="Normal" xfId="0" builtinId="0"/>
    <cellStyle name="Normal 3" xfId="1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7FE5-99EB-40FF-AE16-743EA3EB79F6}">
  <dimension ref="A1:BP487"/>
  <sheetViews>
    <sheetView tabSelected="1" topLeftCell="A112" zoomScale="110" zoomScaleNormal="110" zoomScaleSheetLayoutView="100" workbookViewId="0">
      <selection activeCell="B163" sqref="B163"/>
    </sheetView>
  </sheetViews>
  <sheetFormatPr defaultRowHeight="14.4" x14ac:dyDescent="0.3"/>
  <cols>
    <col min="1" max="1" width="7" bestFit="1" customWidth="1"/>
    <col min="2" max="2" width="70.88671875" customWidth="1"/>
    <col min="3" max="3" width="12.44140625" customWidth="1"/>
    <col min="4" max="4" width="24.5546875" customWidth="1"/>
    <col min="5" max="5" width="5.5546875" bestFit="1" customWidth="1"/>
    <col min="6" max="6" width="5" bestFit="1" customWidth="1"/>
    <col min="7" max="7" width="6.5546875" bestFit="1" customWidth="1"/>
    <col min="8" max="8" width="5.5546875" style="20" bestFit="1" customWidth="1"/>
    <col min="9" max="9" width="12" bestFit="1" customWidth="1"/>
    <col min="10" max="10" width="9.33203125" bestFit="1" customWidth="1"/>
  </cols>
  <sheetData>
    <row r="1" spans="1:66" s="9" customFormat="1" ht="13.5" customHeight="1" x14ac:dyDescent="0.3">
      <c r="A1" s="59" t="s">
        <v>167</v>
      </c>
      <c r="B1" s="60"/>
      <c r="C1" s="60"/>
      <c r="D1" s="60"/>
      <c r="E1" s="60"/>
      <c r="F1" s="60"/>
      <c r="G1" s="60"/>
      <c r="H1" s="6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spans="1:66" s="9" customFormat="1" ht="26.25" customHeight="1" x14ac:dyDescent="0.3">
      <c r="A2" s="44" t="s">
        <v>13</v>
      </c>
      <c r="B2" s="42" t="s">
        <v>12</v>
      </c>
      <c r="C2" s="42" t="s">
        <v>0</v>
      </c>
      <c r="D2" s="42" t="s">
        <v>1</v>
      </c>
      <c r="E2" s="43" t="s">
        <v>72</v>
      </c>
      <c r="F2" s="43" t="s">
        <v>73</v>
      </c>
      <c r="G2" s="43" t="s">
        <v>74</v>
      </c>
      <c r="H2" s="44" t="s">
        <v>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s="9" customFormat="1" ht="15.6" x14ac:dyDescent="0.3">
      <c r="A3" s="22" t="s">
        <v>15</v>
      </c>
      <c r="B3" s="23" t="s">
        <v>202</v>
      </c>
      <c r="C3" s="61"/>
      <c r="D3" s="61"/>
      <c r="E3" s="24">
        <v>1</v>
      </c>
      <c r="F3" s="24">
        <v>1</v>
      </c>
      <c r="G3" s="21">
        <f>E3*F3</f>
        <v>1</v>
      </c>
      <c r="H3" s="21" t="s">
        <v>3</v>
      </c>
      <c r="I3" s="10"/>
      <c r="J3" s="4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s="34" customFormat="1" x14ac:dyDescent="0.3">
      <c r="A4" s="30">
        <v>1</v>
      </c>
      <c r="B4" s="31" t="s">
        <v>203</v>
      </c>
      <c r="C4" s="32" t="s">
        <v>87</v>
      </c>
      <c r="D4" s="32" t="s">
        <v>116</v>
      </c>
      <c r="E4" s="32">
        <v>1</v>
      </c>
      <c r="F4" s="32">
        <f>F3</f>
        <v>1</v>
      </c>
      <c r="G4" s="33">
        <f>E4*F4</f>
        <v>1</v>
      </c>
      <c r="H4" s="33" t="s">
        <v>3</v>
      </c>
      <c r="I4" s="50"/>
      <c r="J4" s="50"/>
      <c r="K4" s="5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66" s="9" customFormat="1" ht="14.25" customHeight="1" x14ac:dyDescent="0.3">
      <c r="A5" s="45">
        <v>2</v>
      </c>
      <c r="B5" s="31" t="s">
        <v>62</v>
      </c>
      <c r="C5" s="32" t="s">
        <v>87</v>
      </c>
      <c r="D5" s="32" t="s">
        <v>117</v>
      </c>
      <c r="E5" s="45">
        <v>1</v>
      </c>
      <c r="F5" s="32">
        <f>F3</f>
        <v>1</v>
      </c>
      <c r="G5" s="45">
        <f t="shared" ref="G5" si="0">E5*F5</f>
        <v>1</v>
      </c>
      <c r="H5" s="32" t="s">
        <v>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6" s="9" customFormat="1" ht="14.25" customHeight="1" x14ac:dyDescent="0.3">
      <c r="A6" s="30">
        <v>3</v>
      </c>
      <c r="B6" s="31" t="s">
        <v>102</v>
      </c>
      <c r="C6" s="32" t="s">
        <v>87</v>
      </c>
      <c r="D6" s="32" t="s">
        <v>118</v>
      </c>
      <c r="E6" s="45">
        <v>2</v>
      </c>
      <c r="F6" s="32">
        <f>F4</f>
        <v>1</v>
      </c>
      <c r="G6" s="45">
        <f t="shared" ref="G6" si="1">E6*F6</f>
        <v>2</v>
      </c>
      <c r="H6" s="32" t="s">
        <v>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6" s="9" customFormat="1" x14ac:dyDescent="0.3">
      <c r="A7" s="45">
        <v>4</v>
      </c>
      <c r="B7" s="11" t="s">
        <v>4</v>
      </c>
      <c r="C7" s="12" t="s">
        <v>87</v>
      </c>
      <c r="D7" s="12" t="s">
        <v>119</v>
      </c>
      <c r="E7" s="12">
        <v>3</v>
      </c>
      <c r="F7" s="32">
        <f t="shared" ref="F7:F30" si="2">F6</f>
        <v>1</v>
      </c>
      <c r="G7" s="6">
        <f>E7*F7</f>
        <v>3</v>
      </c>
      <c r="H7" s="6" t="s">
        <v>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6" s="9" customFormat="1" x14ac:dyDescent="0.3">
      <c r="A8" s="30">
        <v>5</v>
      </c>
      <c r="B8" s="11" t="s">
        <v>38</v>
      </c>
      <c r="C8" s="12" t="s">
        <v>87</v>
      </c>
      <c r="D8" s="12" t="s">
        <v>120</v>
      </c>
      <c r="E8" s="12">
        <v>2</v>
      </c>
      <c r="F8" s="32">
        <f t="shared" si="2"/>
        <v>1</v>
      </c>
      <c r="G8" s="6">
        <f>E8*F8</f>
        <v>2</v>
      </c>
      <c r="H8" s="6" t="s">
        <v>3</v>
      </c>
      <c r="I8" s="19"/>
      <c r="J8" s="1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 spans="1:66" s="9" customFormat="1" x14ac:dyDescent="0.3">
      <c r="A9" s="45">
        <v>6</v>
      </c>
      <c r="B9" s="11" t="s">
        <v>39</v>
      </c>
      <c r="C9" s="12" t="s">
        <v>87</v>
      </c>
      <c r="D9" s="12" t="s">
        <v>121</v>
      </c>
      <c r="E9" s="12">
        <v>1</v>
      </c>
      <c r="F9" s="32">
        <f t="shared" si="2"/>
        <v>1</v>
      </c>
      <c r="G9" s="6">
        <f>E9*F9</f>
        <v>1</v>
      </c>
      <c r="H9" s="6" t="s">
        <v>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6" s="10" customFormat="1" x14ac:dyDescent="0.3">
      <c r="A10" s="30">
        <v>7</v>
      </c>
      <c r="B10" s="15" t="s">
        <v>122</v>
      </c>
      <c r="C10" s="12" t="s">
        <v>87</v>
      </c>
      <c r="D10" s="12" t="s">
        <v>123</v>
      </c>
      <c r="E10" s="16">
        <v>2</v>
      </c>
      <c r="F10" s="32">
        <f t="shared" si="2"/>
        <v>1</v>
      </c>
      <c r="G10" s="14">
        <f t="shared" ref="G10" si="3">E10*F10</f>
        <v>2</v>
      </c>
      <c r="H10" s="14" t="s">
        <v>3</v>
      </c>
      <c r="BI10" s="9"/>
      <c r="BJ10" s="9"/>
      <c r="BK10" s="9"/>
      <c r="BL10" s="9"/>
      <c r="BM10" s="9"/>
      <c r="BN10" s="9"/>
    </row>
    <row r="11" spans="1:66" s="9" customFormat="1" x14ac:dyDescent="0.3">
      <c r="A11" s="45">
        <v>8</v>
      </c>
      <c r="B11" s="11" t="s">
        <v>124</v>
      </c>
      <c r="C11" s="12" t="s">
        <v>53</v>
      </c>
      <c r="D11" s="25" t="s">
        <v>59</v>
      </c>
      <c r="E11" s="12">
        <v>1</v>
      </c>
      <c r="F11" s="32">
        <f t="shared" si="2"/>
        <v>1</v>
      </c>
      <c r="G11" s="6">
        <v>1</v>
      </c>
      <c r="H11" s="6" t="s">
        <v>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6" s="8" customFormat="1" x14ac:dyDescent="0.3">
      <c r="A12" s="30">
        <v>9</v>
      </c>
      <c r="B12" s="11" t="s">
        <v>24</v>
      </c>
      <c r="C12" s="12" t="s">
        <v>53</v>
      </c>
      <c r="D12" s="25" t="s">
        <v>59</v>
      </c>
      <c r="E12" s="12">
        <v>1</v>
      </c>
      <c r="F12" s="32">
        <f t="shared" si="2"/>
        <v>1</v>
      </c>
      <c r="G12" s="6">
        <v>1</v>
      </c>
      <c r="H12" s="6" t="s">
        <v>3</v>
      </c>
      <c r="I12" s="10"/>
      <c r="J12" s="1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1:66" s="9" customFormat="1" x14ac:dyDescent="0.3">
      <c r="A13" s="45">
        <v>10</v>
      </c>
      <c r="B13" s="11" t="s">
        <v>25</v>
      </c>
      <c r="C13" s="12" t="s">
        <v>21</v>
      </c>
      <c r="D13" s="25" t="s">
        <v>59</v>
      </c>
      <c r="E13" s="12">
        <v>1</v>
      </c>
      <c r="F13" s="32">
        <f t="shared" si="2"/>
        <v>1</v>
      </c>
      <c r="G13" s="6">
        <v>1</v>
      </c>
      <c r="H13" s="6" t="s">
        <v>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spans="1:66" s="9" customFormat="1" x14ac:dyDescent="0.3">
      <c r="A14" s="30">
        <v>11</v>
      </c>
      <c r="B14" s="11" t="s">
        <v>26</v>
      </c>
      <c r="C14" s="12" t="s">
        <v>21</v>
      </c>
      <c r="D14" s="25" t="s">
        <v>59</v>
      </c>
      <c r="E14" s="12">
        <v>1</v>
      </c>
      <c r="F14" s="32">
        <f t="shared" si="2"/>
        <v>1</v>
      </c>
      <c r="G14" s="6">
        <v>1</v>
      </c>
      <c r="H14" s="6" t="s">
        <v>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 spans="1:66" s="9" customFormat="1" x14ac:dyDescent="0.3">
      <c r="A15" s="45">
        <v>12</v>
      </c>
      <c r="B15" s="11" t="s">
        <v>14</v>
      </c>
      <c r="C15" s="12" t="s">
        <v>11</v>
      </c>
      <c r="D15" s="25" t="s">
        <v>33</v>
      </c>
      <c r="E15" s="12">
        <v>1</v>
      </c>
      <c r="F15" s="32">
        <f t="shared" si="2"/>
        <v>1</v>
      </c>
      <c r="G15" s="6">
        <f t="shared" ref="G15:G113" si="4">E15*F15</f>
        <v>1</v>
      </c>
      <c r="H15" s="6" t="s">
        <v>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spans="1:66" s="9" customFormat="1" x14ac:dyDescent="0.3">
      <c r="A16" s="30">
        <v>13</v>
      </c>
      <c r="B16" s="11" t="s">
        <v>125</v>
      </c>
      <c r="C16" s="12" t="s">
        <v>17</v>
      </c>
      <c r="D16" s="25" t="s">
        <v>59</v>
      </c>
      <c r="E16" s="12">
        <v>3</v>
      </c>
      <c r="F16" s="32">
        <f t="shared" si="2"/>
        <v>1</v>
      </c>
      <c r="G16" s="6">
        <f t="shared" ref="G16" si="5">E16*F16</f>
        <v>3</v>
      </c>
      <c r="H16" s="6" t="s">
        <v>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 spans="1:64" s="9" customFormat="1" x14ac:dyDescent="0.3">
      <c r="A17" s="45">
        <v>14</v>
      </c>
      <c r="B17" s="11" t="s">
        <v>99</v>
      </c>
      <c r="C17" s="12" t="s">
        <v>17</v>
      </c>
      <c r="D17" s="25" t="s">
        <v>59</v>
      </c>
      <c r="E17" s="12">
        <v>4</v>
      </c>
      <c r="F17" s="32">
        <f t="shared" si="2"/>
        <v>1</v>
      </c>
      <c r="G17" s="6">
        <f t="shared" si="4"/>
        <v>4</v>
      </c>
      <c r="H17" s="6" t="s">
        <v>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</row>
    <row r="18" spans="1:64" s="9" customFormat="1" x14ac:dyDescent="0.3">
      <c r="A18" s="30">
        <v>15</v>
      </c>
      <c r="B18" s="11" t="s">
        <v>100</v>
      </c>
      <c r="C18" s="12" t="s">
        <v>21</v>
      </c>
      <c r="D18" s="25" t="s">
        <v>59</v>
      </c>
      <c r="E18" s="12">
        <v>1</v>
      </c>
      <c r="F18" s="32">
        <f t="shared" ref="F18" si="6">F17</f>
        <v>1</v>
      </c>
      <c r="G18" s="6">
        <v>1</v>
      </c>
      <c r="H18" s="6" t="s">
        <v>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</row>
    <row r="19" spans="1:64" s="7" customFormat="1" x14ac:dyDescent="0.3">
      <c r="A19" s="45">
        <v>16</v>
      </c>
      <c r="B19" s="11" t="s">
        <v>126</v>
      </c>
      <c r="C19" s="16" t="s">
        <v>87</v>
      </c>
      <c r="D19" s="46" t="s">
        <v>127</v>
      </c>
      <c r="E19" s="12">
        <v>4</v>
      </c>
      <c r="F19" s="12">
        <v>1</v>
      </c>
      <c r="G19" s="6">
        <f t="shared" ref="G19:G20" si="7">E19*F19</f>
        <v>4</v>
      </c>
      <c r="H19" s="14" t="s">
        <v>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1:64" s="7" customFormat="1" x14ac:dyDescent="0.3">
      <c r="A20" s="30">
        <v>17</v>
      </c>
      <c r="B20" s="11" t="s">
        <v>101</v>
      </c>
      <c r="C20" s="16" t="s">
        <v>87</v>
      </c>
      <c r="D20" s="16" t="s">
        <v>128</v>
      </c>
      <c r="E20" s="12">
        <v>2</v>
      </c>
      <c r="F20" s="12">
        <v>1</v>
      </c>
      <c r="G20" s="6">
        <f t="shared" si="7"/>
        <v>2</v>
      </c>
      <c r="H20" s="14" t="s">
        <v>3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1:64" s="9" customFormat="1" x14ac:dyDescent="0.3">
      <c r="A21" s="45">
        <v>18</v>
      </c>
      <c r="B21" s="11" t="s">
        <v>8</v>
      </c>
      <c r="C21" s="12" t="s">
        <v>5</v>
      </c>
      <c r="D21" s="25" t="s">
        <v>59</v>
      </c>
      <c r="E21" s="12">
        <v>1</v>
      </c>
      <c r="F21" s="32">
        <f>F17</f>
        <v>1</v>
      </c>
      <c r="G21" s="6">
        <f t="shared" si="4"/>
        <v>1</v>
      </c>
      <c r="H21" s="6" t="s">
        <v>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4" s="9" customFormat="1" x14ac:dyDescent="0.3">
      <c r="A22" s="30">
        <v>19</v>
      </c>
      <c r="B22" s="11" t="s">
        <v>9</v>
      </c>
      <c r="C22" s="12" t="s">
        <v>5</v>
      </c>
      <c r="D22" s="25" t="s">
        <v>59</v>
      </c>
      <c r="E22" s="12">
        <v>1</v>
      </c>
      <c r="F22" s="32">
        <f t="shared" si="2"/>
        <v>1</v>
      </c>
      <c r="G22" s="6">
        <f t="shared" si="4"/>
        <v>1</v>
      </c>
      <c r="H22" s="6" t="s">
        <v>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4" s="9" customFormat="1" x14ac:dyDescent="0.3">
      <c r="A23" s="45">
        <v>20</v>
      </c>
      <c r="B23" s="11" t="s">
        <v>10</v>
      </c>
      <c r="C23" s="12" t="s">
        <v>5</v>
      </c>
      <c r="D23" s="25" t="s">
        <v>59</v>
      </c>
      <c r="E23" s="12">
        <v>1</v>
      </c>
      <c r="F23" s="32">
        <f>F21</f>
        <v>1</v>
      </c>
      <c r="G23" s="6">
        <f t="shared" ref="G23" si="8">E23*F23</f>
        <v>1</v>
      </c>
      <c r="H23" s="6" t="s">
        <v>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4" s="9" customFormat="1" x14ac:dyDescent="0.3">
      <c r="A24" s="30">
        <v>21</v>
      </c>
      <c r="B24" s="11" t="s">
        <v>129</v>
      </c>
      <c r="C24" s="12" t="s">
        <v>5</v>
      </c>
      <c r="D24" s="25" t="s">
        <v>59</v>
      </c>
      <c r="E24" s="12">
        <v>1</v>
      </c>
      <c r="F24" s="32">
        <f>F22</f>
        <v>1</v>
      </c>
      <c r="G24" s="6">
        <f t="shared" si="4"/>
        <v>1</v>
      </c>
      <c r="H24" s="6" t="s">
        <v>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4" s="8" customFormat="1" x14ac:dyDescent="0.3">
      <c r="A25" s="45">
        <v>22</v>
      </c>
      <c r="B25" s="11" t="s">
        <v>19</v>
      </c>
      <c r="C25" s="12" t="s">
        <v>20</v>
      </c>
      <c r="D25" s="12" t="s">
        <v>59</v>
      </c>
      <c r="E25" s="12">
        <v>3</v>
      </c>
      <c r="F25" s="12">
        <v>1</v>
      </c>
      <c r="G25" s="6">
        <f t="shared" ref="G25" si="9">E25*F25</f>
        <v>3</v>
      </c>
      <c r="H25" s="14" t="s">
        <v>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1:64" s="9" customFormat="1" ht="12.75" customHeight="1" x14ac:dyDescent="0.3">
      <c r="A26" s="30">
        <v>23</v>
      </c>
      <c r="B26" s="31" t="s">
        <v>51</v>
      </c>
      <c r="C26" s="32" t="s">
        <v>54</v>
      </c>
      <c r="D26" s="12" t="s">
        <v>59</v>
      </c>
      <c r="E26" s="45">
        <v>2</v>
      </c>
      <c r="F26" s="32">
        <f>F24</f>
        <v>1</v>
      </c>
      <c r="G26" s="45">
        <f t="shared" si="4"/>
        <v>2</v>
      </c>
      <c r="H26" s="32" t="s">
        <v>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4" s="35" customFormat="1" x14ac:dyDescent="0.3">
      <c r="A27" s="45">
        <v>24</v>
      </c>
      <c r="B27" s="15" t="s">
        <v>98</v>
      </c>
      <c r="C27" s="16" t="s">
        <v>55</v>
      </c>
      <c r="D27" s="12" t="s">
        <v>59</v>
      </c>
      <c r="E27" s="16">
        <v>2</v>
      </c>
      <c r="F27" s="32">
        <f t="shared" si="2"/>
        <v>1</v>
      </c>
      <c r="G27" s="14">
        <f t="shared" si="4"/>
        <v>2</v>
      </c>
      <c r="H27" s="14" t="s">
        <v>3</v>
      </c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</row>
    <row r="28" spans="1:64" s="35" customFormat="1" x14ac:dyDescent="0.3">
      <c r="A28" s="30">
        <v>25</v>
      </c>
      <c r="B28" s="15" t="s">
        <v>61</v>
      </c>
      <c r="C28" s="16" t="s">
        <v>56</v>
      </c>
      <c r="D28" s="12" t="s">
        <v>59</v>
      </c>
      <c r="E28" s="16">
        <v>3</v>
      </c>
      <c r="F28" s="32">
        <f t="shared" si="2"/>
        <v>1</v>
      </c>
      <c r="G28" s="14">
        <f t="shared" si="4"/>
        <v>3</v>
      </c>
      <c r="H28" s="14" t="s">
        <v>3</v>
      </c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</row>
    <row r="29" spans="1:64" s="35" customFormat="1" x14ac:dyDescent="0.3">
      <c r="A29" s="45">
        <v>26</v>
      </c>
      <c r="B29" s="15" t="s">
        <v>57</v>
      </c>
      <c r="C29" s="16" t="s">
        <v>58</v>
      </c>
      <c r="D29" s="12" t="s">
        <v>59</v>
      </c>
      <c r="E29" s="16">
        <v>6</v>
      </c>
      <c r="F29" s="32">
        <f t="shared" si="2"/>
        <v>1</v>
      </c>
      <c r="G29" s="14">
        <f t="shared" si="4"/>
        <v>6</v>
      </c>
      <c r="H29" s="14" t="s">
        <v>3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</row>
    <row r="30" spans="1:64" s="9" customFormat="1" x14ac:dyDescent="0.3">
      <c r="A30" s="30">
        <v>27</v>
      </c>
      <c r="B30" s="11" t="s">
        <v>6</v>
      </c>
      <c r="C30" s="12" t="s">
        <v>7</v>
      </c>
      <c r="D30" s="12" t="s">
        <v>59</v>
      </c>
      <c r="E30" s="12">
        <v>2</v>
      </c>
      <c r="F30" s="32">
        <f t="shared" si="2"/>
        <v>1</v>
      </c>
      <c r="G30" s="6">
        <f t="shared" si="4"/>
        <v>2</v>
      </c>
      <c r="H30" s="6" t="s">
        <v>3</v>
      </c>
      <c r="I30" s="19"/>
      <c r="J30" s="1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4" s="9" customFormat="1" ht="16.5" customHeight="1" x14ac:dyDescent="0.3">
      <c r="A31" s="45">
        <v>28</v>
      </c>
      <c r="B31" s="15" t="s">
        <v>130</v>
      </c>
      <c r="C31" s="16" t="s">
        <v>45</v>
      </c>
      <c r="D31" s="16" t="s">
        <v>59</v>
      </c>
      <c r="E31" s="12">
        <v>1</v>
      </c>
      <c r="F31" s="32">
        <v>1</v>
      </c>
      <c r="G31" s="14">
        <f t="shared" si="4"/>
        <v>1</v>
      </c>
      <c r="H31" s="14" t="s">
        <v>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4" s="9" customFormat="1" ht="15.6" x14ac:dyDescent="0.3">
      <c r="A32" s="22" t="s">
        <v>52</v>
      </c>
      <c r="B32" s="23" t="s">
        <v>96</v>
      </c>
      <c r="C32" s="61"/>
      <c r="D32" s="61"/>
      <c r="E32" s="24">
        <v>1</v>
      </c>
      <c r="F32" s="24">
        <v>1</v>
      </c>
      <c r="G32" s="21">
        <f>E32*F32</f>
        <v>1</v>
      </c>
      <c r="H32" s="21" t="s">
        <v>3</v>
      </c>
      <c r="I32" s="10"/>
      <c r="J32" s="4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spans="1:68" s="10" customFormat="1" ht="15.6" x14ac:dyDescent="0.3">
      <c r="A33" s="4">
        <v>1</v>
      </c>
      <c r="B33" s="2" t="s">
        <v>131</v>
      </c>
      <c r="C33" s="56"/>
      <c r="D33" s="56"/>
      <c r="E33" s="17">
        <v>1</v>
      </c>
      <c r="F33" s="17">
        <v>1</v>
      </c>
      <c r="G33" s="3">
        <f t="shared" ref="G33:G66" si="10">E33*F33</f>
        <v>1</v>
      </c>
      <c r="H33" s="3" t="s">
        <v>3</v>
      </c>
    </row>
    <row r="34" spans="1:68" s="18" customFormat="1" x14ac:dyDescent="0.3">
      <c r="A34" s="13">
        <v>1</v>
      </c>
      <c r="B34" s="15" t="s">
        <v>145</v>
      </c>
      <c r="C34" s="16" t="s">
        <v>87</v>
      </c>
      <c r="D34" s="25" t="s">
        <v>132</v>
      </c>
      <c r="E34" s="16">
        <v>1</v>
      </c>
      <c r="F34" s="16">
        <f>F33</f>
        <v>1</v>
      </c>
      <c r="G34" s="14">
        <f t="shared" si="10"/>
        <v>1</v>
      </c>
      <c r="H34" s="14" t="s">
        <v>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1:68" x14ac:dyDescent="0.3">
      <c r="A35" s="13">
        <v>2</v>
      </c>
      <c r="B35" s="11" t="s">
        <v>75</v>
      </c>
      <c r="C35" s="16" t="s">
        <v>87</v>
      </c>
      <c r="D35" s="25" t="s">
        <v>59</v>
      </c>
      <c r="E35" s="16">
        <v>3</v>
      </c>
      <c r="F35" s="16">
        <f t="shared" ref="F35:F68" si="11">F34</f>
        <v>1</v>
      </c>
      <c r="G35" s="14">
        <f t="shared" si="10"/>
        <v>3</v>
      </c>
      <c r="H35" s="14" t="s">
        <v>3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</row>
    <row r="36" spans="1:68" x14ac:dyDescent="0.3">
      <c r="A36" s="13">
        <v>3</v>
      </c>
      <c r="B36" s="11" t="s">
        <v>133</v>
      </c>
      <c r="C36" s="16" t="s">
        <v>87</v>
      </c>
      <c r="D36" s="25" t="s">
        <v>59</v>
      </c>
      <c r="E36" s="16">
        <v>3</v>
      </c>
      <c r="F36" s="16">
        <f t="shared" si="11"/>
        <v>1</v>
      </c>
      <c r="G36" s="14">
        <f t="shared" si="10"/>
        <v>3</v>
      </c>
      <c r="H36" s="14" t="s">
        <v>3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</row>
    <row r="37" spans="1:68" x14ac:dyDescent="0.3">
      <c r="A37" s="13">
        <v>4</v>
      </c>
      <c r="B37" s="11" t="s">
        <v>135</v>
      </c>
      <c r="C37" s="12" t="s">
        <v>76</v>
      </c>
      <c r="D37" s="54" t="s">
        <v>134</v>
      </c>
      <c r="E37" s="16">
        <v>1</v>
      </c>
      <c r="F37" s="16">
        <f t="shared" si="11"/>
        <v>1</v>
      </c>
      <c r="G37" s="14">
        <f t="shared" si="10"/>
        <v>1</v>
      </c>
      <c r="H37" s="14" t="s">
        <v>3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</row>
    <row r="38" spans="1:68" s="7" customFormat="1" x14ac:dyDescent="0.3">
      <c r="A38" s="13">
        <v>5</v>
      </c>
      <c r="B38" s="11" t="s">
        <v>63</v>
      </c>
      <c r="C38" s="16" t="s">
        <v>87</v>
      </c>
      <c r="D38" s="12" t="s">
        <v>120</v>
      </c>
      <c r="E38" s="12">
        <v>1</v>
      </c>
      <c r="F38" s="16">
        <f t="shared" si="11"/>
        <v>1</v>
      </c>
      <c r="G38" s="6">
        <f t="shared" si="10"/>
        <v>1</v>
      </c>
      <c r="H38" s="14" t="s">
        <v>3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</row>
    <row r="39" spans="1:68" s="8" customFormat="1" x14ac:dyDescent="0.3">
      <c r="A39" s="13">
        <v>6</v>
      </c>
      <c r="B39" s="11" t="s">
        <v>6</v>
      </c>
      <c r="C39" s="12" t="s">
        <v>7</v>
      </c>
      <c r="D39" s="12" t="s">
        <v>59</v>
      </c>
      <c r="E39" s="12">
        <v>1</v>
      </c>
      <c r="F39" s="16">
        <f t="shared" si="11"/>
        <v>1</v>
      </c>
      <c r="G39" s="6">
        <f t="shared" si="10"/>
        <v>1</v>
      </c>
      <c r="H39" s="14" t="s">
        <v>3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</row>
    <row r="40" spans="1:68" s="8" customFormat="1" x14ac:dyDescent="0.3">
      <c r="A40" s="13">
        <v>7</v>
      </c>
      <c r="B40" s="11" t="s">
        <v>110</v>
      </c>
      <c r="C40" s="12" t="s">
        <v>21</v>
      </c>
      <c r="D40" s="12"/>
      <c r="E40" s="12">
        <v>1</v>
      </c>
      <c r="F40" s="16">
        <f>F38</f>
        <v>1</v>
      </c>
      <c r="G40" s="6">
        <f t="shared" si="10"/>
        <v>1</v>
      </c>
      <c r="H40" s="14" t="s">
        <v>3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</row>
    <row r="41" spans="1:68" s="8" customFormat="1" x14ac:dyDescent="0.3">
      <c r="A41" s="13">
        <v>8</v>
      </c>
      <c r="B41" s="11" t="s">
        <v>31</v>
      </c>
      <c r="C41" s="12" t="s">
        <v>5</v>
      </c>
      <c r="D41" s="12" t="s">
        <v>32</v>
      </c>
      <c r="E41" s="12">
        <v>1</v>
      </c>
      <c r="F41" s="16">
        <f>F39</f>
        <v>1</v>
      </c>
      <c r="G41" s="6">
        <f t="shared" si="10"/>
        <v>1</v>
      </c>
      <c r="H41" s="14" t="s">
        <v>3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</row>
    <row r="42" spans="1:68" s="8" customFormat="1" x14ac:dyDescent="0.3">
      <c r="A42" s="13">
        <v>9</v>
      </c>
      <c r="B42" s="11" t="s">
        <v>35</v>
      </c>
      <c r="C42" s="12" t="s">
        <v>5</v>
      </c>
      <c r="D42" s="12" t="s">
        <v>30</v>
      </c>
      <c r="E42" s="12">
        <v>1</v>
      </c>
      <c r="F42" s="16">
        <f t="shared" si="11"/>
        <v>1</v>
      </c>
      <c r="G42" s="6">
        <f t="shared" si="10"/>
        <v>1</v>
      </c>
      <c r="H42" s="14" t="s">
        <v>3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</row>
    <row r="43" spans="1:68" s="8" customFormat="1" x14ac:dyDescent="0.3">
      <c r="A43" s="13">
        <v>10</v>
      </c>
      <c r="B43" s="11" t="s">
        <v>16</v>
      </c>
      <c r="C43" s="12" t="s">
        <v>5</v>
      </c>
      <c r="D43" s="12" t="s">
        <v>29</v>
      </c>
      <c r="E43" s="12">
        <v>1</v>
      </c>
      <c r="F43" s="16">
        <f t="shared" si="11"/>
        <v>1</v>
      </c>
      <c r="G43" s="6">
        <f t="shared" si="10"/>
        <v>1</v>
      </c>
      <c r="H43" s="14" t="s">
        <v>3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</row>
    <row r="44" spans="1:68" s="8" customFormat="1" x14ac:dyDescent="0.3">
      <c r="A44" s="13">
        <v>11</v>
      </c>
      <c r="B44" s="11" t="s">
        <v>19</v>
      </c>
      <c r="C44" s="12" t="s">
        <v>20</v>
      </c>
      <c r="D44" s="12" t="s">
        <v>59</v>
      </c>
      <c r="E44" s="12">
        <v>1</v>
      </c>
      <c r="F44" s="16">
        <f>F42</f>
        <v>1</v>
      </c>
      <c r="G44" s="6">
        <f t="shared" si="10"/>
        <v>1</v>
      </c>
      <c r="H44" s="14" t="s">
        <v>3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</row>
    <row r="45" spans="1:68" s="8" customFormat="1" x14ac:dyDescent="0.3">
      <c r="A45" s="13">
        <v>12</v>
      </c>
      <c r="B45" s="11" t="s">
        <v>104</v>
      </c>
      <c r="C45" s="12" t="s">
        <v>20</v>
      </c>
      <c r="D45" s="12" t="s">
        <v>59</v>
      </c>
      <c r="E45" s="12">
        <v>1</v>
      </c>
      <c r="F45" s="16">
        <f>F43</f>
        <v>1</v>
      </c>
      <c r="G45" s="6">
        <f t="shared" si="10"/>
        <v>1</v>
      </c>
      <c r="H45" s="14" t="s">
        <v>3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</row>
    <row r="46" spans="1:68" x14ac:dyDescent="0.3">
      <c r="A46" s="13">
        <v>13</v>
      </c>
      <c r="B46" s="11" t="s">
        <v>47</v>
      </c>
      <c r="C46" s="16" t="s">
        <v>5</v>
      </c>
      <c r="D46" s="12" t="s">
        <v>59</v>
      </c>
      <c r="E46" s="16">
        <v>1</v>
      </c>
      <c r="F46" s="16">
        <f>F45</f>
        <v>1</v>
      </c>
      <c r="G46" s="14">
        <f t="shared" si="10"/>
        <v>1</v>
      </c>
      <c r="H46" s="14" t="s">
        <v>3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</row>
    <row r="47" spans="1:68" x14ac:dyDescent="0.3">
      <c r="A47" s="13">
        <v>14</v>
      </c>
      <c r="B47" s="11" t="s">
        <v>48</v>
      </c>
      <c r="C47" s="16" t="s">
        <v>5</v>
      </c>
      <c r="D47" s="12" t="s">
        <v>59</v>
      </c>
      <c r="E47" s="16">
        <v>1</v>
      </c>
      <c r="F47" s="16">
        <f t="shared" si="11"/>
        <v>1</v>
      </c>
      <c r="G47" s="14">
        <f t="shared" si="10"/>
        <v>1</v>
      </c>
      <c r="H47" s="14" t="s">
        <v>3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</row>
    <row r="48" spans="1:68" s="8" customFormat="1" x14ac:dyDescent="0.3">
      <c r="A48" s="13">
        <v>15</v>
      </c>
      <c r="B48" s="11" t="s">
        <v>136</v>
      </c>
      <c r="C48" s="12" t="s">
        <v>17</v>
      </c>
      <c r="D48" s="12" t="s">
        <v>59</v>
      </c>
      <c r="E48" s="12">
        <v>3</v>
      </c>
      <c r="F48" s="16">
        <f t="shared" si="11"/>
        <v>1</v>
      </c>
      <c r="G48" s="6">
        <f t="shared" si="10"/>
        <v>3</v>
      </c>
      <c r="H48" s="14" t="s">
        <v>3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</row>
    <row r="49" spans="1:68" s="8" customFormat="1" x14ac:dyDescent="0.3">
      <c r="A49" s="13">
        <v>16</v>
      </c>
      <c r="B49" s="11" t="s">
        <v>22</v>
      </c>
      <c r="C49" s="12" t="s">
        <v>17</v>
      </c>
      <c r="D49" s="12" t="s">
        <v>59</v>
      </c>
      <c r="E49" s="12">
        <v>6</v>
      </c>
      <c r="F49" s="16">
        <f t="shared" si="11"/>
        <v>1</v>
      </c>
      <c r="G49" s="6">
        <f t="shared" si="10"/>
        <v>6</v>
      </c>
      <c r="H49" s="14" t="s">
        <v>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</row>
    <row r="50" spans="1:68" s="10" customFormat="1" ht="15.6" x14ac:dyDescent="0.3">
      <c r="A50" s="4">
        <v>2</v>
      </c>
      <c r="B50" s="2" t="s">
        <v>142</v>
      </c>
      <c r="C50" s="56"/>
      <c r="D50" s="56"/>
      <c r="E50" s="17">
        <v>1</v>
      </c>
      <c r="F50" s="17">
        <v>1</v>
      </c>
      <c r="G50" s="3">
        <f t="shared" si="10"/>
        <v>1</v>
      </c>
      <c r="H50" s="3" t="s">
        <v>3</v>
      </c>
    </row>
    <row r="51" spans="1:68" s="7" customFormat="1" x14ac:dyDescent="0.3">
      <c r="A51" s="13">
        <v>5</v>
      </c>
      <c r="B51" s="11" t="s">
        <v>138</v>
      </c>
      <c r="C51" s="16" t="s">
        <v>87</v>
      </c>
      <c r="D51" s="12" t="s">
        <v>139</v>
      </c>
      <c r="E51" s="12">
        <v>1</v>
      </c>
      <c r="F51" s="16">
        <f t="shared" si="11"/>
        <v>1</v>
      </c>
      <c r="G51" s="6">
        <f t="shared" si="10"/>
        <v>1</v>
      </c>
      <c r="H51" s="14" t="s">
        <v>3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</row>
    <row r="52" spans="1:68" x14ac:dyDescent="0.3">
      <c r="A52" s="13">
        <v>2</v>
      </c>
      <c r="B52" s="11" t="s">
        <v>75</v>
      </c>
      <c r="C52" s="16" t="s">
        <v>87</v>
      </c>
      <c r="D52" s="25" t="s">
        <v>59</v>
      </c>
      <c r="E52" s="16">
        <v>3</v>
      </c>
      <c r="F52" s="16">
        <f t="shared" si="11"/>
        <v>1</v>
      </c>
      <c r="G52" s="14">
        <f t="shared" si="10"/>
        <v>3</v>
      </c>
      <c r="H52" s="14" t="s">
        <v>3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</row>
    <row r="53" spans="1:68" x14ac:dyDescent="0.3">
      <c r="A53" s="13">
        <v>3</v>
      </c>
      <c r="B53" s="11" t="s">
        <v>140</v>
      </c>
      <c r="C53" s="16" t="s">
        <v>87</v>
      </c>
      <c r="D53" s="25" t="s">
        <v>59</v>
      </c>
      <c r="E53" s="16">
        <v>3</v>
      </c>
      <c r="F53" s="16">
        <f t="shared" si="11"/>
        <v>1</v>
      </c>
      <c r="G53" s="14">
        <f t="shared" si="10"/>
        <v>3</v>
      </c>
      <c r="H53" s="14" t="s">
        <v>3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</row>
    <row r="54" spans="1:68" x14ac:dyDescent="0.3">
      <c r="A54" s="13">
        <v>4</v>
      </c>
      <c r="B54" s="11" t="s">
        <v>141</v>
      </c>
      <c r="C54" s="12" t="s">
        <v>76</v>
      </c>
      <c r="D54" s="54" t="s">
        <v>134</v>
      </c>
      <c r="E54" s="16">
        <v>1</v>
      </c>
      <c r="F54" s="16">
        <f t="shared" si="11"/>
        <v>1</v>
      </c>
      <c r="G54" s="14">
        <f t="shared" si="10"/>
        <v>1</v>
      </c>
      <c r="H54" s="14" t="s">
        <v>3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</row>
    <row r="55" spans="1:68" s="7" customFormat="1" x14ac:dyDescent="0.3">
      <c r="A55" s="13">
        <v>5</v>
      </c>
      <c r="B55" s="11" t="s">
        <v>63</v>
      </c>
      <c r="C55" s="16" t="s">
        <v>87</v>
      </c>
      <c r="D55" s="12" t="s">
        <v>120</v>
      </c>
      <c r="E55" s="12">
        <v>1</v>
      </c>
      <c r="F55" s="16">
        <f t="shared" si="11"/>
        <v>1</v>
      </c>
      <c r="G55" s="6">
        <f t="shared" si="10"/>
        <v>1</v>
      </c>
      <c r="H55" s="14" t="s">
        <v>3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</row>
    <row r="56" spans="1:68" s="8" customFormat="1" x14ac:dyDescent="0.3">
      <c r="A56" s="13">
        <v>6</v>
      </c>
      <c r="B56" s="11" t="s">
        <v>6</v>
      </c>
      <c r="C56" s="12" t="s">
        <v>7</v>
      </c>
      <c r="D56" s="12" t="s">
        <v>59</v>
      </c>
      <c r="E56" s="12">
        <v>1</v>
      </c>
      <c r="F56" s="16">
        <f t="shared" si="11"/>
        <v>1</v>
      </c>
      <c r="G56" s="6">
        <f t="shared" si="10"/>
        <v>1</v>
      </c>
      <c r="H56" s="14" t="s">
        <v>3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</row>
    <row r="57" spans="1:68" s="8" customFormat="1" x14ac:dyDescent="0.3">
      <c r="A57" s="13">
        <v>7</v>
      </c>
      <c r="B57" s="11" t="s">
        <v>110</v>
      </c>
      <c r="C57" s="12" t="s">
        <v>21</v>
      </c>
      <c r="D57" s="12"/>
      <c r="E57" s="12">
        <v>1</v>
      </c>
      <c r="F57" s="16">
        <f>F55</f>
        <v>1</v>
      </c>
      <c r="G57" s="6">
        <f t="shared" si="10"/>
        <v>1</v>
      </c>
      <c r="H57" s="14" t="s">
        <v>3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</row>
    <row r="58" spans="1:68" s="8" customFormat="1" x14ac:dyDescent="0.3">
      <c r="A58" s="13">
        <v>8</v>
      </c>
      <c r="B58" s="11" t="s">
        <v>31</v>
      </c>
      <c r="C58" s="12" t="s">
        <v>5</v>
      </c>
      <c r="D58" s="12" t="s">
        <v>32</v>
      </c>
      <c r="E58" s="12">
        <v>1</v>
      </c>
      <c r="F58" s="16">
        <f>F56</f>
        <v>1</v>
      </c>
      <c r="G58" s="6">
        <f t="shared" si="10"/>
        <v>1</v>
      </c>
      <c r="H58" s="14" t="s">
        <v>3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</row>
    <row r="59" spans="1:68" s="8" customFormat="1" x14ac:dyDescent="0.3">
      <c r="A59" s="13">
        <v>9</v>
      </c>
      <c r="B59" s="11" t="s">
        <v>35</v>
      </c>
      <c r="C59" s="12" t="s">
        <v>5</v>
      </c>
      <c r="D59" s="12" t="s">
        <v>30</v>
      </c>
      <c r="E59" s="12">
        <v>1</v>
      </c>
      <c r="F59" s="16">
        <f t="shared" si="11"/>
        <v>1</v>
      </c>
      <c r="G59" s="6">
        <f t="shared" si="10"/>
        <v>1</v>
      </c>
      <c r="H59" s="14" t="s">
        <v>3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</row>
    <row r="60" spans="1:68" s="8" customFormat="1" x14ac:dyDescent="0.3">
      <c r="A60" s="13">
        <v>10</v>
      </c>
      <c r="B60" s="11" t="s">
        <v>16</v>
      </c>
      <c r="C60" s="12" t="s">
        <v>5</v>
      </c>
      <c r="D60" s="12" t="s">
        <v>29</v>
      </c>
      <c r="E60" s="12">
        <v>1</v>
      </c>
      <c r="F60" s="16">
        <f t="shared" si="11"/>
        <v>1</v>
      </c>
      <c r="G60" s="6">
        <f t="shared" si="10"/>
        <v>1</v>
      </c>
      <c r="H60" s="14" t="s">
        <v>3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</row>
    <row r="61" spans="1:68" s="8" customFormat="1" x14ac:dyDescent="0.3">
      <c r="A61" s="13">
        <v>11</v>
      </c>
      <c r="B61" s="11" t="s">
        <v>19</v>
      </c>
      <c r="C61" s="12" t="s">
        <v>20</v>
      </c>
      <c r="D61" s="12" t="s">
        <v>59</v>
      </c>
      <c r="E61" s="12">
        <v>1</v>
      </c>
      <c r="F61" s="16">
        <f>F59</f>
        <v>1</v>
      </c>
      <c r="G61" s="6">
        <f t="shared" si="10"/>
        <v>1</v>
      </c>
      <c r="H61" s="14" t="s">
        <v>3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</row>
    <row r="62" spans="1:68" s="8" customFormat="1" x14ac:dyDescent="0.3">
      <c r="A62" s="13">
        <v>12</v>
      </c>
      <c r="B62" s="11" t="s">
        <v>104</v>
      </c>
      <c r="C62" s="12" t="s">
        <v>20</v>
      </c>
      <c r="D62" s="12" t="s">
        <v>59</v>
      </c>
      <c r="E62" s="12">
        <v>1</v>
      </c>
      <c r="F62" s="16">
        <f>F60</f>
        <v>1</v>
      </c>
      <c r="G62" s="6">
        <f t="shared" si="10"/>
        <v>1</v>
      </c>
      <c r="H62" s="14" t="s">
        <v>3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</row>
    <row r="63" spans="1:68" x14ac:dyDescent="0.3">
      <c r="A63" s="13">
        <v>13</v>
      </c>
      <c r="B63" s="11" t="s">
        <v>47</v>
      </c>
      <c r="C63" s="16" t="s">
        <v>5</v>
      </c>
      <c r="D63" s="12" t="s">
        <v>59</v>
      </c>
      <c r="E63" s="16">
        <v>1</v>
      </c>
      <c r="F63" s="16">
        <f>F62</f>
        <v>1</v>
      </c>
      <c r="G63" s="14">
        <f t="shared" si="10"/>
        <v>1</v>
      </c>
      <c r="H63" s="14" t="s">
        <v>3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</row>
    <row r="64" spans="1:68" x14ac:dyDescent="0.3">
      <c r="A64" s="13">
        <v>14</v>
      </c>
      <c r="B64" s="11" t="s">
        <v>48</v>
      </c>
      <c r="C64" s="16" t="s">
        <v>5</v>
      </c>
      <c r="D64" s="12" t="s">
        <v>59</v>
      </c>
      <c r="E64" s="16">
        <v>1</v>
      </c>
      <c r="F64" s="16">
        <f t="shared" si="11"/>
        <v>1</v>
      </c>
      <c r="G64" s="14">
        <f t="shared" si="10"/>
        <v>1</v>
      </c>
      <c r="H64" s="14" t="s">
        <v>3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</row>
    <row r="65" spans="1:68" s="8" customFormat="1" x14ac:dyDescent="0.3">
      <c r="A65" s="13">
        <v>15</v>
      </c>
      <c r="B65" s="11" t="s">
        <v>36</v>
      </c>
      <c r="C65" s="12" t="s">
        <v>17</v>
      </c>
      <c r="D65" s="12" t="s">
        <v>59</v>
      </c>
      <c r="E65" s="12">
        <v>3</v>
      </c>
      <c r="F65" s="16">
        <f t="shared" si="11"/>
        <v>1</v>
      </c>
      <c r="G65" s="6">
        <f t="shared" si="10"/>
        <v>3</v>
      </c>
      <c r="H65" s="14" t="s">
        <v>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</row>
    <row r="66" spans="1:68" s="8" customFormat="1" x14ac:dyDescent="0.3">
      <c r="A66" s="13">
        <v>16</v>
      </c>
      <c r="B66" s="11" t="s">
        <v>22</v>
      </c>
      <c r="C66" s="12" t="s">
        <v>17</v>
      </c>
      <c r="D66" s="12" t="s">
        <v>59</v>
      </c>
      <c r="E66" s="12">
        <v>6</v>
      </c>
      <c r="F66" s="16">
        <f t="shared" si="11"/>
        <v>1</v>
      </c>
      <c r="G66" s="6">
        <f t="shared" si="10"/>
        <v>6</v>
      </c>
      <c r="H66" s="14" t="s">
        <v>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</row>
    <row r="67" spans="1:68" s="10" customFormat="1" ht="15.6" x14ac:dyDescent="0.3">
      <c r="A67" s="4">
        <v>3</v>
      </c>
      <c r="B67" s="2" t="s">
        <v>143</v>
      </c>
      <c r="C67" s="56"/>
      <c r="D67" s="56"/>
      <c r="E67" s="17">
        <v>1</v>
      </c>
      <c r="F67" s="17">
        <v>1</v>
      </c>
      <c r="G67" s="3">
        <f t="shared" ref="G67:G89" si="12">E67*F67</f>
        <v>1</v>
      </c>
      <c r="H67" s="3" t="s">
        <v>3</v>
      </c>
    </row>
    <row r="68" spans="1:68" s="7" customFormat="1" x14ac:dyDescent="0.3">
      <c r="A68" s="13">
        <v>5</v>
      </c>
      <c r="B68" s="11" t="s">
        <v>137</v>
      </c>
      <c r="C68" s="16" t="s">
        <v>87</v>
      </c>
      <c r="D68" s="12" t="s">
        <v>121</v>
      </c>
      <c r="E68" s="12">
        <v>1</v>
      </c>
      <c r="F68" s="16">
        <f t="shared" si="11"/>
        <v>1</v>
      </c>
      <c r="G68" s="6">
        <f t="shared" si="12"/>
        <v>1</v>
      </c>
      <c r="H68" s="14" t="s">
        <v>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</row>
    <row r="69" spans="1:68" x14ac:dyDescent="0.3">
      <c r="A69" s="13">
        <v>2</v>
      </c>
      <c r="B69" s="11" t="s">
        <v>75</v>
      </c>
      <c r="C69" s="16" t="s">
        <v>87</v>
      </c>
      <c r="D69" s="25" t="s">
        <v>59</v>
      </c>
      <c r="E69" s="16">
        <v>3</v>
      </c>
      <c r="F69" s="16">
        <f t="shared" ref="F69:F83" si="13">F68</f>
        <v>1</v>
      </c>
      <c r="G69" s="14">
        <f t="shared" si="12"/>
        <v>3</v>
      </c>
      <c r="H69" s="14" t="s">
        <v>3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</row>
    <row r="70" spans="1:68" x14ac:dyDescent="0.3">
      <c r="A70" s="13">
        <v>3</v>
      </c>
      <c r="B70" s="11" t="s">
        <v>140</v>
      </c>
      <c r="C70" s="16" t="s">
        <v>87</v>
      </c>
      <c r="D70" s="25" t="s">
        <v>59</v>
      </c>
      <c r="E70" s="16">
        <v>3</v>
      </c>
      <c r="F70" s="16">
        <f t="shared" si="13"/>
        <v>1</v>
      </c>
      <c r="G70" s="14">
        <f t="shared" si="12"/>
        <v>3</v>
      </c>
      <c r="H70" s="14" t="s">
        <v>3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</row>
    <row r="71" spans="1:68" x14ac:dyDescent="0.3">
      <c r="A71" s="13">
        <v>4</v>
      </c>
      <c r="B71" s="11" t="s">
        <v>77</v>
      </c>
      <c r="C71" s="12" t="s">
        <v>76</v>
      </c>
      <c r="D71" s="54" t="s">
        <v>134</v>
      </c>
      <c r="E71" s="16">
        <v>1</v>
      </c>
      <c r="F71" s="16">
        <f t="shared" si="13"/>
        <v>1</v>
      </c>
      <c r="G71" s="14">
        <f t="shared" si="12"/>
        <v>1</v>
      </c>
      <c r="H71" s="14" t="s">
        <v>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</row>
    <row r="72" spans="1:68" s="7" customFormat="1" x14ac:dyDescent="0.3">
      <c r="A72" s="13">
        <v>5</v>
      </c>
      <c r="B72" s="11" t="s">
        <v>63</v>
      </c>
      <c r="C72" s="16" t="s">
        <v>87</v>
      </c>
      <c r="D72" s="12" t="s">
        <v>120</v>
      </c>
      <c r="E72" s="12">
        <v>1</v>
      </c>
      <c r="F72" s="16">
        <f t="shared" si="13"/>
        <v>1</v>
      </c>
      <c r="G72" s="6">
        <f t="shared" si="12"/>
        <v>1</v>
      </c>
      <c r="H72" s="14" t="s">
        <v>3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</row>
    <row r="73" spans="1:68" s="8" customFormat="1" x14ac:dyDescent="0.3">
      <c r="A73" s="13">
        <v>6</v>
      </c>
      <c r="B73" s="11" t="s">
        <v>6</v>
      </c>
      <c r="C73" s="12" t="s">
        <v>7</v>
      </c>
      <c r="D73" s="12" t="s">
        <v>59</v>
      </c>
      <c r="E73" s="12">
        <v>1</v>
      </c>
      <c r="F73" s="16">
        <f t="shared" si="13"/>
        <v>1</v>
      </c>
      <c r="G73" s="6">
        <f t="shared" si="12"/>
        <v>1</v>
      </c>
      <c r="H73" s="14" t="s">
        <v>3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</row>
    <row r="74" spans="1:68" s="8" customFormat="1" x14ac:dyDescent="0.3">
      <c r="A74" s="13">
        <v>7</v>
      </c>
      <c r="B74" s="11" t="s">
        <v>110</v>
      </c>
      <c r="C74" s="12" t="s">
        <v>21</v>
      </c>
      <c r="D74" s="12"/>
      <c r="E74" s="12">
        <v>1</v>
      </c>
      <c r="F74" s="16">
        <f>F72</f>
        <v>1</v>
      </c>
      <c r="G74" s="6">
        <f t="shared" si="12"/>
        <v>1</v>
      </c>
      <c r="H74" s="14" t="s">
        <v>3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</row>
    <row r="75" spans="1:68" s="8" customFormat="1" x14ac:dyDescent="0.3">
      <c r="A75" s="13">
        <v>8</v>
      </c>
      <c r="B75" s="11" t="s">
        <v>31</v>
      </c>
      <c r="C75" s="12" t="s">
        <v>5</v>
      </c>
      <c r="D75" s="12" t="s">
        <v>32</v>
      </c>
      <c r="E75" s="12">
        <v>1</v>
      </c>
      <c r="F75" s="16">
        <f>F73</f>
        <v>1</v>
      </c>
      <c r="G75" s="6">
        <f t="shared" si="12"/>
        <v>1</v>
      </c>
      <c r="H75" s="14" t="s">
        <v>3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</row>
    <row r="76" spans="1:68" s="8" customFormat="1" x14ac:dyDescent="0.3">
      <c r="A76" s="13">
        <v>9</v>
      </c>
      <c r="B76" s="11" t="s">
        <v>35</v>
      </c>
      <c r="C76" s="12" t="s">
        <v>5</v>
      </c>
      <c r="D76" s="12" t="s">
        <v>30</v>
      </c>
      <c r="E76" s="12">
        <v>1</v>
      </c>
      <c r="F76" s="16">
        <f t="shared" si="13"/>
        <v>1</v>
      </c>
      <c r="G76" s="6">
        <f t="shared" si="12"/>
        <v>1</v>
      </c>
      <c r="H76" s="14" t="s">
        <v>3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</row>
    <row r="77" spans="1:68" s="8" customFormat="1" x14ac:dyDescent="0.3">
      <c r="A77" s="13">
        <v>10</v>
      </c>
      <c r="B77" s="11" t="s">
        <v>16</v>
      </c>
      <c r="C77" s="12" t="s">
        <v>5</v>
      </c>
      <c r="D77" s="12" t="s">
        <v>29</v>
      </c>
      <c r="E77" s="12">
        <v>1</v>
      </c>
      <c r="F77" s="16">
        <f t="shared" si="13"/>
        <v>1</v>
      </c>
      <c r="G77" s="6">
        <f t="shared" si="12"/>
        <v>1</v>
      </c>
      <c r="H77" s="14" t="s">
        <v>3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</row>
    <row r="78" spans="1:68" s="8" customFormat="1" x14ac:dyDescent="0.3">
      <c r="A78" s="13">
        <v>11</v>
      </c>
      <c r="B78" s="11" t="s">
        <v>19</v>
      </c>
      <c r="C78" s="12" t="s">
        <v>20</v>
      </c>
      <c r="D78" s="12" t="s">
        <v>59</v>
      </c>
      <c r="E78" s="12">
        <v>1</v>
      </c>
      <c r="F78" s="16">
        <f>F76</f>
        <v>1</v>
      </c>
      <c r="G78" s="6">
        <f t="shared" si="12"/>
        <v>1</v>
      </c>
      <c r="H78" s="14" t="s">
        <v>3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</row>
    <row r="79" spans="1:68" s="8" customFormat="1" x14ac:dyDescent="0.3">
      <c r="A79" s="13">
        <v>12</v>
      </c>
      <c r="B79" s="11" t="s">
        <v>104</v>
      </c>
      <c r="C79" s="12" t="s">
        <v>20</v>
      </c>
      <c r="D79" s="12" t="s">
        <v>59</v>
      </c>
      <c r="E79" s="12">
        <v>1</v>
      </c>
      <c r="F79" s="16">
        <f>F77</f>
        <v>1</v>
      </c>
      <c r="G79" s="6">
        <f t="shared" si="12"/>
        <v>1</v>
      </c>
      <c r="H79" s="14" t="s">
        <v>3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</row>
    <row r="80" spans="1:68" x14ac:dyDescent="0.3">
      <c r="A80" s="13">
        <v>13</v>
      </c>
      <c r="B80" s="11" t="s">
        <v>47</v>
      </c>
      <c r="C80" s="16" t="s">
        <v>5</v>
      </c>
      <c r="D80" s="12" t="s">
        <v>59</v>
      </c>
      <c r="E80" s="16">
        <v>1</v>
      </c>
      <c r="F80" s="16">
        <f>F79</f>
        <v>1</v>
      </c>
      <c r="G80" s="14">
        <f t="shared" si="12"/>
        <v>1</v>
      </c>
      <c r="H80" s="14" t="s">
        <v>3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</row>
    <row r="81" spans="1:68" x14ac:dyDescent="0.3">
      <c r="A81" s="13">
        <v>14</v>
      </c>
      <c r="B81" s="11" t="s">
        <v>48</v>
      </c>
      <c r="C81" s="16" t="s">
        <v>5</v>
      </c>
      <c r="D81" s="12" t="s">
        <v>59</v>
      </c>
      <c r="E81" s="16">
        <v>1</v>
      </c>
      <c r="F81" s="16">
        <f t="shared" si="13"/>
        <v>1</v>
      </c>
      <c r="G81" s="14">
        <f t="shared" si="12"/>
        <v>1</v>
      </c>
      <c r="H81" s="14" t="s">
        <v>3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</row>
    <row r="82" spans="1:68" s="8" customFormat="1" x14ac:dyDescent="0.3">
      <c r="A82" s="13">
        <v>15</v>
      </c>
      <c r="B82" s="11" t="s">
        <v>37</v>
      </c>
      <c r="C82" s="12" t="s">
        <v>17</v>
      </c>
      <c r="D82" s="12" t="s">
        <v>59</v>
      </c>
      <c r="E82" s="12">
        <v>3</v>
      </c>
      <c r="F82" s="16">
        <f t="shared" si="13"/>
        <v>1</v>
      </c>
      <c r="G82" s="6">
        <f t="shared" si="12"/>
        <v>3</v>
      </c>
      <c r="H82" s="14" t="s">
        <v>3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</row>
    <row r="83" spans="1:68" s="8" customFormat="1" x14ac:dyDescent="0.3">
      <c r="A83" s="13">
        <v>16</v>
      </c>
      <c r="B83" s="11" t="s">
        <v>22</v>
      </c>
      <c r="C83" s="12" t="s">
        <v>17</v>
      </c>
      <c r="D83" s="12" t="s">
        <v>59</v>
      </c>
      <c r="E83" s="12">
        <v>6</v>
      </c>
      <c r="F83" s="16">
        <f t="shared" si="13"/>
        <v>1</v>
      </c>
      <c r="G83" s="6">
        <f t="shared" si="12"/>
        <v>6</v>
      </c>
      <c r="H83" s="14" t="s">
        <v>3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</row>
    <row r="84" spans="1:68" s="8" customFormat="1" ht="15.6" x14ac:dyDescent="0.3">
      <c r="A84" s="4">
        <v>4</v>
      </c>
      <c r="B84" s="2" t="s">
        <v>152</v>
      </c>
      <c r="C84" s="17"/>
      <c r="D84" s="17"/>
      <c r="E84" s="17">
        <v>1</v>
      </c>
      <c r="F84" s="17">
        <v>1</v>
      </c>
      <c r="G84" s="3">
        <f t="shared" si="12"/>
        <v>1</v>
      </c>
      <c r="H84" s="3" t="s">
        <v>3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1:68" s="18" customFormat="1" x14ac:dyDescent="0.3">
      <c r="A85" s="13">
        <v>1</v>
      </c>
      <c r="B85" s="15" t="s">
        <v>146</v>
      </c>
      <c r="C85" s="16" t="s">
        <v>87</v>
      </c>
      <c r="D85" s="25" t="s">
        <v>147</v>
      </c>
      <c r="E85" s="16">
        <v>1</v>
      </c>
      <c r="F85" s="16">
        <f>F84</f>
        <v>1</v>
      </c>
      <c r="G85" s="14">
        <f t="shared" si="12"/>
        <v>1</v>
      </c>
      <c r="H85" s="14" t="s">
        <v>3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</row>
    <row r="86" spans="1:68" s="7" customFormat="1" x14ac:dyDescent="0.3">
      <c r="A86" s="1">
        <v>2</v>
      </c>
      <c r="B86" s="11" t="s">
        <v>148</v>
      </c>
      <c r="C86" s="16" t="s">
        <v>87</v>
      </c>
      <c r="D86" s="46" t="s">
        <v>150</v>
      </c>
      <c r="E86" s="12">
        <v>1</v>
      </c>
      <c r="F86" s="12">
        <v>1</v>
      </c>
      <c r="G86" s="6">
        <f t="shared" si="12"/>
        <v>1</v>
      </c>
      <c r="H86" s="14" t="s">
        <v>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1:68" s="7" customFormat="1" x14ac:dyDescent="0.3">
      <c r="A87" s="13">
        <v>3</v>
      </c>
      <c r="B87" s="11" t="s">
        <v>44</v>
      </c>
      <c r="C87" s="16" t="s">
        <v>87</v>
      </c>
      <c r="D87" s="46" t="s">
        <v>151</v>
      </c>
      <c r="E87" s="12">
        <v>2</v>
      </c>
      <c r="F87" s="12">
        <v>1</v>
      </c>
      <c r="G87" s="6">
        <f t="shared" si="12"/>
        <v>2</v>
      </c>
      <c r="H87" s="14" t="s">
        <v>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1:68" s="7" customFormat="1" x14ac:dyDescent="0.3">
      <c r="A88" s="1">
        <v>4</v>
      </c>
      <c r="B88" s="11" t="s">
        <v>153</v>
      </c>
      <c r="C88" s="16" t="s">
        <v>87</v>
      </c>
      <c r="D88" s="46" t="s">
        <v>149</v>
      </c>
      <c r="E88" s="12">
        <v>1</v>
      </c>
      <c r="F88" s="12">
        <v>1</v>
      </c>
      <c r="G88" s="6">
        <f t="shared" si="12"/>
        <v>1</v>
      </c>
      <c r="H88" s="14" t="s">
        <v>3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1:68" s="8" customFormat="1" x14ac:dyDescent="0.3">
      <c r="A89" s="13">
        <v>5</v>
      </c>
      <c r="B89" s="11" t="s">
        <v>23</v>
      </c>
      <c r="C89" s="12" t="s">
        <v>34</v>
      </c>
      <c r="D89" s="12" t="s">
        <v>59</v>
      </c>
      <c r="E89" s="12">
        <v>1</v>
      </c>
      <c r="F89" s="12">
        <v>1</v>
      </c>
      <c r="G89" s="6">
        <f t="shared" si="12"/>
        <v>1</v>
      </c>
      <c r="H89" s="14" t="s">
        <v>3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1:68" s="7" customFormat="1" x14ac:dyDescent="0.3">
      <c r="A90" s="1">
        <v>6</v>
      </c>
      <c r="B90" s="11" t="s">
        <v>41</v>
      </c>
      <c r="C90" s="16" t="s">
        <v>87</v>
      </c>
      <c r="D90" s="16" t="s">
        <v>159</v>
      </c>
      <c r="E90" s="12">
        <v>1</v>
      </c>
      <c r="F90" s="12">
        <v>1</v>
      </c>
      <c r="G90" s="6">
        <f>E90*F90</f>
        <v>1</v>
      </c>
      <c r="H90" s="14" t="s">
        <v>3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1:68" s="7" customFormat="1" x14ac:dyDescent="0.3">
      <c r="A91" s="13">
        <v>7</v>
      </c>
      <c r="B91" s="11" t="s">
        <v>63</v>
      </c>
      <c r="C91" s="16" t="s">
        <v>87</v>
      </c>
      <c r="D91" s="12" t="s">
        <v>120</v>
      </c>
      <c r="E91" s="12">
        <v>1</v>
      </c>
      <c r="F91" s="12">
        <v>1</v>
      </c>
      <c r="G91" s="6">
        <f t="shared" ref="G91:G98" si="14">E91*F91</f>
        <v>1</v>
      </c>
      <c r="H91" s="14" t="s">
        <v>3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1:68" s="8" customFormat="1" x14ac:dyDescent="0.3">
      <c r="A92" s="1">
        <v>8</v>
      </c>
      <c r="B92" s="11" t="s">
        <v>6</v>
      </c>
      <c r="C92" s="12" t="s">
        <v>7</v>
      </c>
      <c r="D92" s="12" t="s">
        <v>59</v>
      </c>
      <c r="E92" s="12">
        <v>1</v>
      </c>
      <c r="F92" s="12">
        <v>1</v>
      </c>
      <c r="G92" s="6">
        <f t="shared" si="14"/>
        <v>1</v>
      </c>
      <c r="H92" s="14" t="s">
        <v>3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1:68" s="8" customFormat="1" x14ac:dyDescent="0.3">
      <c r="A93" s="13">
        <v>9</v>
      </c>
      <c r="B93" s="11" t="s">
        <v>31</v>
      </c>
      <c r="C93" s="12" t="s">
        <v>5</v>
      </c>
      <c r="D93" s="12" t="s">
        <v>32</v>
      </c>
      <c r="E93" s="12">
        <v>1</v>
      </c>
      <c r="F93" s="12">
        <v>1</v>
      </c>
      <c r="G93" s="6">
        <f t="shared" si="14"/>
        <v>1</v>
      </c>
      <c r="H93" s="14" t="s">
        <v>3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1:68" s="8" customFormat="1" x14ac:dyDescent="0.3">
      <c r="A94" s="1">
        <v>10</v>
      </c>
      <c r="B94" s="11" t="s">
        <v>35</v>
      </c>
      <c r="C94" s="12" t="s">
        <v>5</v>
      </c>
      <c r="D94" s="12" t="s">
        <v>30</v>
      </c>
      <c r="E94" s="12">
        <v>1</v>
      </c>
      <c r="F94" s="12">
        <v>1</v>
      </c>
      <c r="G94" s="6">
        <f t="shared" si="14"/>
        <v>1</v>
      </c>
      <c r="H94" s="14" t="s">
        <v>3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1:68" s="8" customFormat="1" x14ac:dyDescent="0.3">
      <c r="A95" s="13">
        <v>11</v>
      </c>
      <c r="B95" s="11" t="s">
        <v>16</v>
      </c>
      <c r="C95" s="12" t="s">
        <v>5</v>
      </c>
      <c r="D95" s="12" t="s">
        <v>29</v>
      </c>
      <c r="E95" s="12">
        <v>1</v>
      </c>
      <c r="F95" s="12">
        <v>1</v>
      </c>
      <c r="G95" s="6">
        <f t="shared" si="14"/>
        <v>1</v>
      </c>
      <c r="H95" s="14" t="s">
        <v>3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1:68" s="8" customFormat="1" x14ac:dyDescent="0.3">
      <c r="A96" s="1">
        <v>12</v>
      </c>
      <c r="B96" s="11" t="s">
        <v>19</v>
      </c>
      <c r="C96" s="12" t="s">
        <v>20</v>
      </c>
      <c r="D96" s="12" t="s">
        <v>59</v>
      </c>
      <c r="E96" s="12">
        <v>1</v>
      </c>
      <c r="F96" s="12">
        <v>1</v>
      </c>
      <c r="G96" s="6">
        <f t="shared" si="14"/>
        <v>1</v>
      </c>
      <c r="H96" s="14" t="s">
        <v>3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1:68" s="8" customFormat="1" x14ac:dyDescent="0.3">
      <c r="A97" s="13">
        <v>13</v>
      </c>
      <c r="B97" s="11" t="s">
        <v>36</v>
      </c>
      <c r="C97" s="12" t="s">
        <v>17</v>
      </c>
      <c r="D97" s="12" t="s">
        <v>59</v>
      </c>
      <c r="E97" s="12">
        <v>6</v>
      </c>
      <c r="F97" s="12">
        <v>1</v>
      </c>
      <c r="G97" s="6">
        <f t="shared" si="14"/>
        <v>6</v>
      </c>
      <c r="H97" s="14" t="s">
        <v>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1:68" s="8" customFormat="1" x14ac:dyDescent="0.3">
      <c r="A98" s="1">
        <v>14</v>
      </c>
      <c r="B98" s="11" t="s">
        <v>22</v>
      </c>
      <c r="C98" s="12" t="s">
        <v>17</v>
      </c>
      <c r="D98" s="12" t="s">
        <v>59</v>
      </c>
      <c r="E98" s="12">
        <v>6</v>
      </c>
      <c r="F98" s="12">
        <v>1</v>
      </c>
      <c r="G98" s="6">
        <f t="shared" si="14"/>
        <v>6</v>
      </c>
      <c r="H98" s="14" t="s">
        <v>3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1:68" s="8" customFormat="1" ht="15.6" x14ac:dyDescent="0.3">
      <c r="A99" s="4">
        <v>5</v>
      </c>
      <c r="B99" s="2" t="s">
        <v>144</v>
      </c>
      <c r="C99" s="17"/>
      <c r="D99" s="17"/>
      <c r="E99" s="17">
        <v>1</v>
      </c>
      <c r="F99" s="17">
        <v>2</v>
      </c>
      <c r="G99" s="3">
        <f t="shared" si="4"/>
        <v>2</v>
      </c>
      <c r="H99" s="3" t="s">
        <v>3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1:68" s="18" customFormat="1" x14ac:dyDescent="0.3">
      <c r="A100" s="13">
        <v>1</v>
      </c>
      <c r="B100" s="15" t="s">
        <v>146</v>
      </c>
      <c r="C100" s="16" t="s">
        <v>87</v>
      </c>
      <c r="D100" s="25" t="s">
        <v>147</v>
      </c>
      <c r="E100" s="16">
        <v>1</v>
      </c>
      <c r="F100" s="16">
        <f>F99</f>
        <v>2</v>
      </c>
      <c r="G100" s="14">
        <f t="shared" si="4"/>
        <v>2</v>
      </c>
      <c r="H100" s="14" t="s">
        <v>3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</row>
    <row r="101" spans="1:68" s="7" customFormat="1" x14ac:dyDescent="0.3">
      <c r="A101" s="1">
        <v>2</v>
      </c>
      <c r="B101" s="11" t="s">
        <v>148</v>
      </c>
      <c r="C101" s="16" t="s">
        <v>87</v>
      </c>
      <c r="D101" s="46" t="s">
        <v>150</v>
      </c>
      <c r="E101" s="12">
        <v>1</v>
      </c>
      <c r="F101" s="16">
        <f t="shared" ref="F101:F113" si="15">F100</f>
        <v>2</v>
      </c>
      <c r="G101" s="6">
        <f t="shared" si="4"/>
        <v>2</v>
      </c>
      <c r="H101" s="14" t="s">
        <v>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1:68" s="7" customFormat="1" x14ac:dyDescent="0.3">
      <c r="A102" s="13">
        <v>3</v>
      </c>
      <c r="B102" s="11" t="s">
        <v>44</v>
      </c>
      <c r="C102" s="16" t="s">
        <v>87</v>
      </c>
      <c r="D102" s="46" t="s">
        <v>151</v>
      </c>
      <c r="E102" s="12">
        <v>2</v>
      </c>
      <c r="F102" s="16">
        <f t="shared" si="15"/>
        <v>2</v>
      </c>
      <c r="G102" s="6">
        <f t="shared" si="4"/>
        <v>4</v>
      </c>
      <c r="H102" s="14" t="s">
        <v>3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1:68" s="7" customFormat="1" x14ac:dyDescent="0.3">
      <c r="A103" s="1">
        <v>4</v>
      </c>
      <c r="B103" s="11" t="s">
        <v>154</v>
      </c>
      <c r="C103" s="16" t="s">
        <v>87</v>
      </c>
      <c r="D103" s="46" t="s">
        <v>155</v>
      </c>
      <c r="E103" s="12">
        <v>1</v>
      </c>
      <c r="F103" s="16">
        <f t="shared" si="15"/>
        <v>2</v>
      </c>
      <c r="G103" s="6">
        <f t="shared" si="4"/>
        <v>2</v>
      </c>
      <c r="H103" s="14" t="s">
        <v>3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1:68" s="8" customFormat="1" x14ac:dyDescent="0.3">
      <c r="A104" s="13">
        <v>5</v>
      </c>
      <c r="B104" s="11" t="s">
        <v>23</v>
      </c>
      <c r="C104" s="12" t="s">
        <v>34</v>
      </c>
      <c r="D104" s="12" t="s">
        <v>59</v>
      </c>
      <c r="E104" s="12">
        <v>1</v>
      </c>
      <c r="F104" s="16">
        <f t="shared" si="15"/>
        <v>2</v>
      </c>
      <c r="G104" s="6">
        <f t="shared" si="4"/>
        <v>2</v>
      </c>
      <c r="H104" s="14" t="s">
        <v>3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1:68" s="7" customFormat="1" x14ac:dyDescent="0.3">
      <c r="A105" s="1">
        <v>6</v>
      </c>
      <c r="B105" s="11" t="s">
        <v>41</v>
      </c>
      <c r="C105" s="16" t="s">
        <v>87</v>
      </c>
      <c r="D105" s="16" t="s">
        <v>159</v>
      </c>
      <c r="E105" s="12">
        <v>1</v>
      </c>
      <c r="F105" s="16">
        <f t="shared" si="15"/>
        <v>2</v>
      </c>
      <c r="G105" s="6">
        <f>E105*F105</f>
        <v>2</v>
      </c>
      <c r="H105" s="14" t="s">
        <v>3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1:68" s="7" customFormat="1" x14ac:dyDescent="0.3">
      <c r="A106" s="13">
        <v>7</v>
      </c>
      <c r="B106" s="11" t="s">
        <v>63</v>
      </c>
      <c r="C106" s="16" t="s">
        <v>87</v>
      </c>
      <c r="D106" s="12" t="s">
        <v>120</v>
      </c>
      <c r="E106" s="12">
        <v>1</v>
      </c>
      <c r="F106" s="16">
        <f t="shared" si="15"/>
        <v>2</v>
      </c>
      <c r="G106" s="6">
        <f t="shared" si="4"/>
        <v>2</v>
      </c>
      <c r="H106" s="14" t="s">
        <v>3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1:68" s="8" customFormat="1" x14ac:dyDescent="0.3">
      <c r="A107" s="1">
        <v>8</v>
      </c>
      <c r="B107" s="11" t="s">
        <v>6</v>
      </c>
      <c r="C107" s="12" t="s">
        <v>7</v>
      </c>
      <c r="D107" s="12" t="s">
        <v>59</v>
      </c>
      <c r="E107" s="12">
        <v>1</v>
      </c>
      <c r="F107" s="16">
        <f t="shared" si="15"/>
        <v>2</v>
      </c>
      <c r="G107" s="6">
        <f t="shared" si="4"/>
        <v>2</v>
      </c>
      <c r="H107" s="14" t="s">
        <v>3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1:68" s="8" customFormat="1" x14ac:dyDescent="0.3">
      <c r="A108" s="13">
        <v>9</v>
      </c>
      <c r="B108" s="11" t="s">
        <v>31</v>
      </c>
      <c r="C108" s="12" t="s">
        <v>5</v>
      </c>
      <c r="D108" s="12" t="s">
        <v>32</v>
      </c>
      <c r="E108" s="12">
        <v>1</v>
      </c>
      <c r="F108" s="16">
        <f t="shared" si="15"/>
        <v>2</v>
      </c>
      <c r="G108" s="6">
        <f t="shared" si="4"/>
        <v>2</v>
      </c>
      <c r="H108" s="14" t="s">
        <v>3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1:68" s="8" customFormat="1" x14ac:dyDescent="0.3">
      <c r="A109" s="1">
        <v>10</v>
      </c>
      <c r="B109" s="11" t="s">
        <v>35</v>
      </c>
      <c r="C109" s="12" t="s">
        <v>5</v>
      </c>
      <c r="D109" s="12" t="s">
        <v>30</v>
      </c>
      <c r="E109" s="12">
        <v>1</v>
      </c>
      <c r="F109" s="16">
        <f t="shared" si="15"/>
        <v>2</v>
      </c>
      <c r="G109" s="6">
        <f t="shared" si="4"/>
        <v>2</v>
      </c>
      <c r="H109" s="14" t="s">
        <v>3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1:68" s="8" customFormat="1" x14ac:dyDescent="0.3">
      <c r="A110" s="13">
        <v>11</v>
      </c>
      <c r="B110" s="11" t="s">
        <v>16</v>
      </c>
      <c r="C110" s="12" t="s">
        <v>5</v>
      </c>
      <c r="D110" s="12" t="s">
        <v>29</v>
      </c>
      <c r="E110" s="12">
        <v>1</v>
      </c>
      <c r="F110" s="16">
        <f t="shared" si="15"/>
        <v>2</v>
      </c>
      <c r="G110" s="6">
        <f t="shared" si="4"/>
        <v>2</v>
      </c>
      <c r="H110" s="14" t="s">
        <v>3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1:68" s="8" customFormat="1" x14ac:dyDescent="0.3">
      <c r="A111" s="1">
        <v>12</v>
      </c>
      <c r="B111" s="11" t="s">
        <v>19</v>
      </c>
      <c r="C111" s="12" t="s">
        <v>20</v>
      </c>
      <c r="D111" s="12" t="s">
        <v>59</v>
      </c>
      <c r="E111" s="12">
        <v>1</v>
      </c>
      <c r="F111" s="16">
        <f t="shared" si="15"/>
        <v>2</v>
      </c>
      <c r="G111" s="6">
        <f t="shared" si="4"/>
        <v>2</v>
      </c>
      <c r="H111" s="14" t="s">
        <v>3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1:68" s="8" customFormat="1" x14ac:dyDescent="0.3">
      <c r="A112" s="13">
        <v>13</v>
      </c>
      <c r="B112" s="11" t="s">
        <v>36</v>
      </c>
      <c r="C112" s="12" t="s">
        <v>17</v>
      </c>
      <c r="D112" s="12" t="s">
        <v>59</v>
      </c>
      <c r="E112" s="12">
        <v>6</v>
      </c>
      <c r="F112" s="16">
        <f t="shared" si="15"/>
        <v>2</v>
      </c>
      <c r="G112" s="6">
        <f t="shared" si="4"/>
        <v>12</v>
      </c>
      <c r="H112" s="14" t="s">
        <v>3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1:68" s="8" customFormat="1" x14ac:dyDescent="0.3">
      <c r="A113" s="1">
        <v>14</v>
      </c>
      <c r="B113" s="11" t="s">
        <v>22</v>
      </c>
      <c r="C113" s="12" t="s">
        <v>17</v>
      </c>
      <c r="D113" s="12" t="s">
        <v>59</v>
      </c>
      <c r="E113" s="12">
        <v>6</v>
      </c>
      <c r="F113" s="16">
        <f t="shared" si="15"/>
        <v>2</v>
      </c>
      <c r="G113" s="6">
        <f t="shared" si="4"/>
        <v>12</v>
      </c>
      <c r="H113" s="14" t="s">
        <v>3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1:68" s="10" customFormat="1" ht="15.6" x14ac:dyDescent="0.3">
      <c r="A114" s="4">
        <v>6</v>
      </c>
      <c r="B114" s="2" t="s">
        <v>156</v>
      </c>
      <c r="C114" s="56"/>
      <c r="D114" s="56"/>
      <c r="E114" s="17">
        <v>1</v>
      </c>
      <c r="F114" s="17">
        <v>2</v>
      </c>
      <c r="G114" s="3">
        <f t="shared" ref="G114:G139" si="16">E114*F114</f>
        <v>2</v>
      </c>
      <c r="H114" s="3" t="s">
        <v>3</v>
      </c>
    </row>
    <row r="115" spans="1:68" s="7" customFormat="1" x14ac:dyDescent="0.3">
      <c r="A115" s="13">
        <v>1</v>
      </c>
      <c r="B115" s="11" t="s">
        <v>138</v>
      </c>
      <c r="C115" s="16" t="s">
        <v>87</v>
      </c>
      <c r="D115" s="12" t="s">
        <v>139</v>
      </c>
      <c r="E115" s="12">
        <v>1</v>
      </c>
      <c r="F115" s="16">
        <f t="shared" ref="F115" si="17">F114</f>
        <v>2</v>
      </c>
      <c r="G115" s="6">
        <f t="shared" si="16"/>
        <v>2</v>
      </c>
      <c r="H115" s="14" t="s">
        <v>3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</row>
    <row r="116" spans="1:68" s="18" customFormat="1" x14ac:dyDescent="0.3">
      <c r="A116" s="13">
        <v>2</v>
      </c>
      <c r="B116" s="15" t="s">
        <v>157</v>
      </c>
      <c r="C116" s="16" t="s">
        <v>87</v>
      </c>
      <c r="D116" s="46" t="s">
        <v>151</v>
      </c>
      <c r="E116" s="16">
        <v>1</v>
      </c>
      <c r="F116" s="16">
        <f>F114</f>
        <v>2</v>
      </c>
      <c r="G116" s="14">
        <f t="shared" si="16"/>
        <v>2</v>
      </c>
      <c r="H116" s="14" t="s">
        <v>3</v>
      </c>
      <c r="I116" s="19"/>
      <c r="J116" s="19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</row>
    <row r="117" spans="1:68" s="18" customFormat="1" x14ac:dyDescent="0.3">
      <c r="A117" s="13">
        <v>3</v>
      </c>
      <c r="B117" s="15" t="s">
        <v>65</v>
      </c>
      <c r="C117" s="16" t="s">
        <v>87</v>
      </c>
      <c r="D117" s="46" t="s">
        <v>158</v>
      </c>
      <c r="E117" s="16">
        <v>1</v>
      </c>
      <c r="F117" s="16">
        <f>F114</f>
        <v>2</v>
      </c>
      <c r="G117" s="14">
        <f t="shared" si="16"/>
        <v>2</v>
      </c>
      <c r="H117" s="14" t="s">
        <v>3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</row>
    <row r="118" spans="1:68" s="7" customFormat="1" x14ac:dyDescent="0.3">
      <c r="A118" s="13">
        <v>4</v>
      </c>
      <c r="B118" s="11" t="s">
        <v>41</v>
      </c>
      <c r="C118" s="16" t="s">
        <v>87</v>
      </c>
      <c r="D118" s="16" t="s">
        <v>159</v>
      </c>
      <c r="E118" s="12">
        <v>1</v>
      </c>
      <c r="F118" s="12">
        <f>F114</f>
        <v>2</v>
      </c>
      <c r="G118" s="6">
        <f t="shared" si="16"/>
        <v>2</v>
      </c>
      <c r="H118" s="14" t="s">
        <v>3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</row>
    <row r="119" spans="1:68" s="7" customFormat="1" x14ac:dyDescent="0.3">
      <c r="A119" s="13">
        <v>5</v>
      </c>
      <c r="B119" s="11" t="s">
        <v>63</v>
      </c>
      <c r="C119" s="16" t="s">
        <v>87</v>
      </c>
      <c r="D119" s="12" t="s">
        <v>120</v>
      </c>
      <c r="E119" s="12">
        <v>1</v>
      </c>
      <c r="F119" s="12">
        <f>F118</f>
        <v>2</v>
      </c>
      <c r="G119" s="6">
        <f t="shared" si="16"/>
        <v>2</v>
      </c>
      <c r="H119" s="14" t="s">
        <v>3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</row>
    <row r="120" spans="1:68" s="8" customFormat="1" x14ac:dyDescent="0.3">
      <c r="A120" s="13">
        <v>6</v>
      </c>
      <c r="B120" s="11" t="s">
        <v>6</v>
      </c>
      <c r="C120" s="12" t="s">
        <v>7</v>
      </c>
      <c r="D120" s="12" t="s">
        <v>59</v>
      </c>
      <c r="E120" s="12">
        <v>1</v>
      </c>
      <c r="F120" s="12">
        <f>F118</f>
        <v>2</v>
      </c>
      <c r="G120" s="6">
        <f t="shared" si="16"/>
        <v>2</v>
      </c>
      <c r="H120" s="14" t="s">
        <v>3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</row>
    <row r="121" spans="1:68" s="8" customFormat="1" x14ac:dyDescent="0.3">
      <c r="A121" s="13">
        <v>7</v>
      </c>
      <c r="B121" s="11" t="s">
        <v>31</v>
      </c>
      <c r="C121" s="12" t="s">
        <v>5</v>
      </c>
      <c r="D121" s="12" t="s">
        <v>32</v>
      </c>
      <c r="E121" s="12">
        <v>1</v>
      </c>
      <c r="F121" s="12">
        <f>F118</f>
        <v>2</v>
      </c>
      <c r="G121" s="6">
        <f t="shared" si="16"/>
        <v>2</v>
      </c>
      <c r="H121" s="14" t="s">
        <v>3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</row>
    <row r="122" spans="1:68" s="8" customFormat="1" x14ac:dyDescent="0.3">
      <c r="A122" s="13">
        <v>8</v>
      </c>
      <c r="B122" s="11" t="s">
        <v>35</v>
      </c>
      <c r="C122" s="12" t="s">
        <v>5</v>
      </c>
      <c r="D122" s="12" t="s">
        <v>30</v>
      </c>
      <c r="E122" s="12">
        <v>1</v>
      </c>
      <c r="F122" s="12">
        <f>F118</f>
        <v>2</v>
      </c>
      <c r="G122" s="6">
        <f t="shared" si="16"/>
        <v>2</v>
      </c>
      <c r="H122" s="14" t="s">
        <v>3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</row>
    <row r="123" spans="1:68" s="8" customFormat="1" x14ac:dyDescent="0.3">
      <c r="A123" s="13">
        <v>9</v>
      </c>
      <c r="B123" s="11" t="s">
        <v>16</v>
      </c>
      <c r="C123" s="12" t="s">
        <v>5</v>
      </c>
      <c r="D123" s="12" t="s">
        <v>29</v>
      </c>
      <c r="E123" s="12">
        <v>1</v>
      </c>
      <c r="F123" s="12">
        <f>F118</f>
        <v>2</v>
      </c>
      <c r="G123" s="6">
        <f t="shared" si="16"/>
        <v>2</v>
      </c>
      <c r="H123" s="14" t="s">
        <v>3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</row>
    <row r="124" spans="1:68" s="8" customFormat="1" x14ac:dyDescent="0.3">
      <c r="A124" s="13">
        <v>10</v>
      </c>
      <c r="B124" s="11" t="s">
        <v>19</v>
      </c>
      <c r="C124" s="12" t="s">
        <v>20</v>
      </c>
      <c r="D124" s="12" t="s">
        <v>59</v>
      </c>
      <c r="E124" s="12">
        <v>1</v>
      </c>
      <c r="F124" s="12">
        <v>2</v>
      </c>
      <c r="G124" s="6">
        <f t="shared" si="16"/>
        <v>2</v>
      </c>
      <c r="H124" s="14" t="s">
        <v>3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</row>
    <row r="125" spans="1:68" s="8" customFormat="1" x14ac:dyDescent="0.3">
      <c r="A125" s="13">
        <v>11</v>
      </c>
      <c r="B125" s="11" t="s">
        <v>36</v>
      </c>
      <c r="C125" s="12" t="s">
        <v>17</v>
      </c>
      <c r="D125" s="12" t="s">
        <v>59</v>
      </c>
      <c r="E125" s="12">
        <v>3</v>
      </c>
      <c r="F125" s="12">
        <f>F120</f>
        <v>2</v>
      </c>
      <c r="G125" s="6">
        <f t="shared" si="16"/>
        <v>6</v>
      </c>
      <c r="H125" s="14" t="s">
        <v>3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</row>
    <row r="126" spans="1:68" s="8" customFormat="1" x14ac:dyDescent="0.3">
      <c r="A126" s="13">
        <v>12</v>
      </c>
      <c r="B126" s="11" t="s">
        <v>22</v>
      </c>
      <c r="C126" s="12" t="s">
        <v>17</v>
      </c>
      <c r="D126" s="12" t="s">
        <v>59</v>
      </c>
      <c r="E126" s="12">
        <v>6</v>
      </c>
      <c r="F126" s="12">
        <f>F114</f>
        <v>2</v>
      </c>
      <c r="G126" s="6">
        <f t="shared" si="16"/>
        <v>12</v>
      </c>
      <c r="H126" s="14" t="s">
        <v>3</v>
      </c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</row>
    <row r="127" spans="1:68" s="10" customFormat="1" ht="15.6" x14ac:dyDescent="0.3">
      <c r="A127" s="4">
        <v>7</v>
      </c>
      <c r="B127" s="2" t="s">
        <v>43</v>
      </c>
      <c r="C127" s="56"/>
      <c r="D127" s="56"/>
      <c r="E127" s="17">
        <v>1</v>
      </c>
      <c r="F127" s="17">
        <v>1</v>
      </c>
      <c r="G127" s="3">
        <f t="shared" si="16"/>
        <v>1</v>
      </c>
      <c r="H127" s="3" t="s">
        <v>3</v>
      </c>
    </row>
    <row r="128" spans="1:68" s="7" customFormat="1" x14ac:dyDescent="0.3">
      <c r="A128" s="13">
        <v>1</v>
      </c>
      <c r="B128" s="11" t="s">
        <v>137</v>
      </c>
      <c r="C128" s="16" t="s">
        <v>87</v>
      </c>
      <c r="D128" s="12" t="s">
        <v>121</v>
      </c>
      <c r="E128" s="12">
        <v>1</v>
      </c>
      <c r="F128" s="16">
        <v>1</v>
      </c>
      <c r="G128" s="6">
        <f t="shared" si="16"/>
        <v>1</v>
      </c>
      <c r="H128" s="14" t="s">
        <v>3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</row>
    <row r="129" spans="1:68" s="18" customFormat="1" x14ac:dyDescent="0.3">
      <c r="A129" s="13">
        <v>2</v>
      </c>
      <c r="B129" s="15" t="s">
        <v>40</v>
      </c>
      <c r="C129" s="16" t="s">
        <v>87</v>
      </c>
      <c r="D129" s="46" t="s">
        <v>127</v>
      </c>
      <c r="E129" s="16">
        <v>1</v>
      </c>
      <c r="F129" s="16">
        <f>F127</f>
        <v>1</v>
      </c>
      <c r="G129" s="14">
        <f t="shared" si="16"/>
        <v>1</v>
      </c>
      <c r="H129" s="14" t="s">
        <v>3</v>
      </c>
      <c r="I129" s="19"/>
      <c r="J129" s="19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</row>
    <row r="130" spans="1:68" s="18" customFormat="1" x14ac:dyDescent="0.3">
      <c r="A130" s="13">
        <v>3</v>
      </c>
      <c r="B130" s="15" t="s">
        <v>160</v>
      </c>
      <c r="C130" s="16" t="s">
        <v>87</v>
      </c>
      <c r="D130" s="46" t="s">
        <v>161</v>
      </c>
      <c r="E130" s="16">
        <v>1</v>
      </c>
      <c r="F130" s="16">
        <f>F127</f>
        <v>1</v>
      </c>
      <c r="G130" s="14">
        <f t="shared" si="16"/>
        <v>1</v>
      </c>
      <c r="H130" s="14" t="s">
        <v>3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</row>
    <row r="131" spans="1:68" s="7" customFormat="1" x14ac:dyDescent="0.3">
      <c r="A131" s="13">
        <v>4</v>
      </c>
      <c r="B131" s="11" t="s">
        <v>41</v>
      </c>
      <c r="C131" s="16" t="s">
        <v>87</v>
      </c>
      <c r="D131" s="16" t="s">
        <v>159</v>
      </c>
      <c r="E131" s="12">
        <v>1</v>
      </c>
      <c r="F131" s="12">
        <f>F127</f>
        <v>1</v>
      </c>
      <c r="G131" s="6">
        <f t="shared" si="16"/>
        <v>1</v>
      </c>
      <c r="H131" s="14" t="s">
        <v>3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</row>
    <row r="132" spans="1:68" s="7" customFormat="1" x14ac:dyDescent="0.3">
      <c r="A132" s="13">
        <v>5</v>
      </c>
      <c r="B132" s="11" t="s">
        <v>63</v>
      </c>
      <c r="C132" s="16" t="s">
        <v>87</v>
      </c>
      <c r="D132" s="12" t="s">
        <v>120</v>
      </c>
      <c r="E132" s="12">
        <v>1</v>
      </c>
      <c r="F132" s="12">
        <f>F131</f>
        <v>1</v>
      </c>
      <c r="G132" s="6">
        <f t="shared" si="16"/>
        <v>1</v>
      </c>
      <c r="H132" s="14" t="s">
        <v>3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</row>
    <row r="133" spans="1:68" s="8" customFormat="1" x14ac:dyDescent="0.3">
      <c r="A133" s="13">
        <v>6</v>
      </c>
      <c r="B133" s="11" t="s">
        <v>6</v>
      </c>
      <c r="C133" s="12" t="s">
        <v>7</v>
      </c>
      <c r="D133" s="12" t="s">
        <v>59</v>
      </c>
      <c r="E133" s="12">
        <v>1</v>
      </c>
      <c r="F133" s="12">
        <f>F131</f>
        <v>1</v>
      </c>
      <c r="G133" s="6">
        <f t="shared" si="16"/>
        <v>1</v>
      </c>
      <c r="H133" s="14" t="s">
        <v>3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</row>
    <row r="134" spans="1:68" s="8" customFormat="1" x14ac:dyDescent="0.3">
      <c r="A134" s="13">
        <v>7</v>
      </c>
      <c r="B134" s="11" t="s">
        <v>31</v>
      </c>
      <c r="C134" s="12" t="s">
        <v>5</v>
      </c>
      <c r="D134" s="12" t="s">
        <v>32</v>
      </c>
      <c r="E134" s="12">
        <v>1</v>
      </c>
      <c r="F134" s="12">
        <f>F131</f>
        <v>1</v>
      </c>
      <c r="G134" s="6">
        <f t="shared" si="16"/>
        <v>1</v>
      </c>
      <c r="H134" s="14" t="s">
        <v>3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</row>
    <row r="135" spans="1:68" s="8" customFormat="1" x14ac:dyDescent="0.3">
      <c r="A135" s="13">
        <v>8</v>
      </c>
      <c r="B135" s="11" t="s">
        <v>35</v>
      </c>
      <c r="C135" s="12" t="s">
        <v>5</v>
      </c>
      <c r="D135" s="12" t="s">
        <v>30</v>
      </c>
      <c r="E135" s="12">
        <v>1</v>
      </c>
      <c r="F135" s="12">
        <f>F131</f>
        <v>1</v>
      </c>
      <c r="G135" s="6">
        <f t="shared" si="16"/>
        <v>1</v>
      </c>
      <c r="H135" s="14" t="s">
        <v>3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</row>
    <row r="136" spans="1:68" s="8" customFormat="1" x14ac:dyDescent="0.3">
      <c r="A136" s="13">
        <v>9</v>
      </c>
      <c r="B136" s="11" t="s">
        <v>16</v>
      </c>
      <c r="C136" s="12" t="s">
        <v>5</v>
      </c>
      <c r="D136" s="12" t="s">
        <v>29</v>
      </c>
      <c r="E136" s="12">
        <v>1</v>
      </c>
      <c r="F136" s="12">
        <f>F131</f>
        <v>1</v>
      </c>
      <c r="G136" s="6">
        <f t="shared" si="16"/>
        <v>1</v>
      </c>
      <c r="H136" s="14" t="s">
        <v>3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</row>
    <row r="137" spans="1:68" s="8" customFormat="1" x14ac:dyDescent="0.3">
      <c r="A137" s="13">
        <v>10</v>
      </c>
      <c r="B137" s="11" t="s">
        <v>19</v>
      </c>
      <c r="C137" s="12" t="s">
        <v>20</v>
      </c>
      <c r="D137" s="12" t="s">
        <v>59</v>
      </c>
      <c r="E137" s="12">
        <v>1</v>
      </c>
      <c r="F137" s="12">
        <f>F131</f>
        <v>1</v>
      </c>
      <c r="G137" s="6">
        <f t="shared" si="16"/>
        <v>1</v>
      </c>
      <c r="H137" s="14" t="s">
        <v>3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</row>
    <row r="138" spans="1:68" s="8" customFormat="1" x14ac:dyDescent="0.3">
      <c r="A138" s="13">
        <v>11</v>
      </c>
      <c r="B138" s="11" t="s">
        <v>37</v>
      </c>
      <c r="C138" s="12" t="s">
        <v>17</v>
      </c>
      <c r="D138" s="12" t="s">
        <v>59</v>
      </c>
      <c r="E138" s="12">
        <v>3</v>
      </c>
      <c r="F138" s="12">
        <f>F133</f>
        <v>1</v>
      </c>
      <c r="G138" s="6">
        <f t="shared" si="16"/>
        <v>3</v>
      </c>
      <c r="H138" s="14" t="s">
        <v>3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</row>
    <row r="139" spans="1:68" s="8" customFormat="1" x14ac:dyDescent="0.3">
      <c r="A139" s="13">
        <v>12</v>
      </c>
      <c r="B139" s="11" t="s">
        <v>22</v>
      </c>
      <c r="C139" s="12" t="s">
        <v>17</v>
      </c>
      <c r="D139" s="12" t="s">
        <v>59</v>
      </c>
      <c r="E139" s="12">
        <v>6</v>
      </c>
      <c r="F139" s="12">
        <f>F127</f>
        <v>1</v>
      </c>
      <c r="G139" s="6">
        <f t="shared" si="16"/>
        <v>6</v>
      </c>
      <c r="H139" s="14" t="s">
        <v>3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</row>
    <row r="140" spans="1:68" s="10" customFormat="1" ht="15.6" x14ac:dyDescent="0.3">
      <c r="A140" s="4">
        <v>8</v>
      </c>
      <c r="B140" s="2" t="s">
        <v>64</v>
      </c>
      <c r="C140" s="56"/>
      <c r="D140" s="56"/>
      <c r="E140" s="17">
        <v>1</v>
      </c>
      <c r="F140" s="17">
        <v>1</v>
      </c>
      <c r="G140" s="3">
        <f t="shared" ref="G140:G186" si="18">E140*F140</f>
        <v>1</v>
      </c>
      <c r="H140" s="3" t="s">
        <v>3</v>
      </c>
    </row>
    <row r="141" spans="1:68" s="7" customFormat="1" x14ac:dyDescent="0.3">
      <c r="A141" s="13">
        <v>1</v>
      </c>
      <c r="B141" s="11" t="s">
        <v>137</v>
      </c>
      <c r="C141" s="16" t="s">
        <v>87</v>
      </c>
      <c r="D141" s="12" t="s">
        <v>121</v>
      </c>
      <c r="E141" s="12">
        <v>1</v>
      </c>
      <c r="F141" s="16">
        <v>1</v>
      </c>
      <c r="G141" s="6">
        <f t="shared" si="18"/>
        <v>1</v>
      </c>
      <c r="H141" s="14" t="s">
        <v>3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</row>
    <row r="142" spans="1:68" s="18" customFormat="1" x14ac:dyDescent="0.3">
      <c r="A142" s="13">
        <v>2</v>
      </c>
      <c r="B142" s="15" t="s">
        <v>40</v>
      </c>
      <c r="C142" s="16" t="s">
        <v>87</v>
      </c>
      <c r="D142" s="46" t="s">
        <v>127</v>
      </c>
      <c r="E142" s="16">
        <v>1</v>
      </c>
      <c r="F142" s="16">
        <f>F140</f>
        <v>1</v>
      </c>
      <c r="G142" s="14">
        <f t="shared" si="18"/>
        <v>1</v>
      </c>
      <c r="H142" s="14" t="s">
        <v>3</v>
      </c>
      <c r="I142" s="19"/>
      <c r="J142" s="19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</row>
    <row r="143" spans="1:68" s="18" customFormat="1" x14ac:dyDescent="0.3">
      <c r="A143" s="13">
        <v>3</v>
      </c>
      <c r="B143" s="15" t="s">
        <v>162</v>
      </c>
      <c r="C143" s="16" t="s">
        <v>87</v>
      </c>
      <c r="D143" s="46" t="s">
        <v>163</v>
      </c>
      <c r="E143" s="16">
        <v>1</v>
      </c>
      <c r="F143" s="16">
        <f>F140</f>
        <v>1</v>
      </c>
      <c r="G143" s="14">
        <f t="shared" si="18"/>
        <v>1</v>
      </c>
      <c r="H143" s="14" t="s">
        <v>3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</row>
    <row r="144" spans="1:68" s="7" customFormat="1" x14ac:dyDescent="0.3">
      <c r="A144" s="13">
        <v>4</v>
      </c>
      <c r="B144" s="11" t="s">
        <v>41</v>
      </c>
      <c r="C144" s="16" t="s">
        <v>87</v>
      </c>
      <c r="D144" s="16" t="s">
        <v>159</v>
      </c>
      <c r="E144" s="12">
        <v>1</v>
      </c>
      <c r="F144" s="12">
        <f>F140</f>
        <v>1</v>
      </c>
      <c r="G144" s="6">
        <f t="shared" si="18"/>
        <v>1</v>
      </c>
      <c r="H144" s="14" t="s">
        <v>3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</row>
    <row r="145" spans="1:68" s="7" customFormat="1" x14ac:dyDescent="0.3">
      <c r="A145" s="13">
        <v>5</v>
      </c>
      <c r="B145" s="11" t="s">
        <v>63</v>
      </c>
      <c r="C145" s="16" t="s">
        <v>87</v>
      </c>
      <c r="D145" s="12" t="s">
        <v>120</v>
      </c>
      <c r="E145" s="12">
        <v>1</v>
      </c>
      <c r="F145" s="12">
        <f>F144</f>
        <v>1</v>
      </c>
      <c r="G145" s="6">
        <f t="shared" si="18"/>
        <v>1</v>
      </c>
      <c r="H145" s="14" t="s">
        <v>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</row>
    <row r="146" spans="1:68" s="8" customFormat="1" x14ac:dyDescent="0.3">
      <c r="A146" s="13">
        <v>6</v>
      </c>
      <c r="B146" s="11" t="s">
        <v>6</v>
      </c>
      <c r="C146" s="12" t="s">
        <v>7</v>
      </c>
      <c r="D146" s="12" t="s">
        <v>59</v>
      </c>
      <c r="E146" s="12">
        <v>1</v>
      </c>
      <c r="F146" s="12">
        <f>F144</f>
        <v>1</v>
      </c>
      <c r="G146" s="6">
        <f t="shared" si="18"/>
        <v>1</v>
      </c>
      <c r="H146" s="14" t="s">
        <v>3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</row>
    <row r="147" spans="1:68" s="8" customFormat="1" x14ac:dyDescent="0.3">
      <c r="A147" s="13">
        <v>7</v>
      </c>
      <c r="B147" s="11" t="s">
        <v>31</v>
      </c>
      <c r="C147" s="12" t="s">
        <v>5</v>
      </c>
      <c r="D147" s="12" t="s">
        <v>32</v>
      </c>
      <c r="E147" s="12">
        <v>1</v>
      </c>
      <c r="F147" s="12">
        <f>F144</f>
        <v>1</v>
      </c>
      <c r="G147" s="6">
        <f t="shared" si="18"/>
        <v>1</v>
      </c>
      <c r="H147" s="14" t="s">
        <v>3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</row>
    <row r="148" spans="1:68" s="8" customFormat="1" x14ac:dyDescent="0.3">
      <c r="A148" s="13">
        <v>8</v>
      </c>
      <c r="B148" s="11" t="s">
        <v>35</v>
      </c>
      <c r="C148" s="12" t="s">
        <v>5</v>
      </c>
      <c r="D148" s="12" t="s">
        <v>30</v>
      </c>
      <c r="E148" s="12">
        <v>1</v>
      </c>
      <c r="F148" s="12">
        <f>F144</f>
        <v>1</v>
      </c>
      <c r="G148" s="6">
        <f t="shared" si="18"/>
        <v>1</v>
      </c>
      <c r="H148" s="14" t="s">
        <v>3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</row>
    <row r="149" spans="1:68" s="8" customFormat="1" x14ac:dyDescent="0.3">
      <c r="A149" s="13">
        <v>9</v>
      </c>
      <c r="B149" s="11" t="s">
        <v>16</v>
      </c>
      <c r="C149" s="12" t="s">
        <v>5</v>
      </c>
      <c r="D149" s="12" t="s">
        <v>29</v>
      </c>
      <c r="E149" s="12">
        <v>1</v>
      </c>
      <c r="F149" s="12">
        <f>F144</f>
        <v>1</v>
      </c>
      <c r="G149" s="6">
        <f t="shared" si="18"/>
        <v>1</v>
      </c>
      <c r="H149" s="14" t="s">
        <v>3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</row>
    <row r="150" spans="1:68" s="8" customFormat="1" x14ac:dyDescent="0.3">
      <c r="A150" s="13">
        <v>10</v>
      </c>
      <c r="B150" s="11" t="s">
        <v>19</v>
      </c>
      <c r="C150" s="12" t="s">
        <v>20</v>
      </c>
      <c r="D150" s="12" t="s">
        <v>59</v>
      </c>
      <c r="E150" s="12">
        <v>1</v>
      </c>
      <c r="F150" s="12">
        <f>F144</f>
        <v>1</v>
      </c>
      <c r="G150" s="6">
        <f t="shared" si="18"/>
        <v>1</v>
      </c>
      <c r="H150" s="14" t="s">
        <v>3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</row>
    <row r="151" spans="1:68" s="8" customFormat="1" x14ac:dyDescent="0.3">
      <c r="A151" s="13">
        <v>11</v>
      </c>
      <c r="B151" s="11" t="s">
        <v>37</v>
      </c>
      <c r="C151" s="12" t="s">
        <v>17</v>
      </c>
      <c r="D151" s="12" t="s">
        <v>59</v>
      </c>
      <c r="E151" s="12">
        <v>3</v>
      </c>
      <c r="F151" s="12">
        <f>F146</f>
        <v>1</v>
      </c>
      <c r="G151" s="6">
        <f t="shared" si="18"/>
        <v>3</v>
      </c>
      <c r="H151" s="14" t="s">
        <v>3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</row>
    <row r="152" spans="1:68" s="8" customFormat="1" x14ac:dyDescent="0.3">
      <c r="A152" s="13">
        <v>12</v>
      </c>
      <c r="B152" s="11" t="s">
        <v>22</v>
      </c>
      <c r="C152" s="12" t="s">
        <v>17</v>
      </c>
      <c r="D152" s="12" t="s">
        <v>59</v>
      </c>
      <c r="E152" s="12">
        <v>6</v>
      </c>
      <c r="F152" s="12">
        <f>F140</f>
        <v>1</v>
      </c>
      <c r="G152" s="6">
        <f t="shared" si="18"/>
        <v>6</v>
      </c>
      <c r="H152" s="14" t="s">
        <v>3</v>
      </c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</row>
    <row r="153" spans="1:68" s="35" customFormat="1" ht="15.75" customHeight="1" x14ac:dyDescent="0.3">
      <c r="A153" s="4">
        <v>6</v>
      </c>
      <c r="B153" s="2" t="s">
        <v>164</v>
      </c>
      <c r="C153" s="56"/>
      <c r="D153" s="56"/>
      <c r="E153" s="17">
        <v>1</v>
      </c>
      <c r="F153" s="17">
        <v>1</v>
      </c>
      <c r="G153" s="3">
        <f t="shared" ref="G153" si="19">E153*F153</f>
        <v>1</v>
      </c>
      <c r="H153" s="3" t="s">
        <v>3</v>
      </c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</row>
    <row r="154" spans="1:68" s="35" customFormat="1" x14ac:dyDescent="0.3">
      <c r="A154" s="36">
        <v>1</v>
      </c>
      <c r="B154" s="15" t="s">
        <v>165</v>
      </c>
      <c r="C154" s="16" t="s">
        <v>87</v>
      </c>
      <c r="D154" s="12" t="s">
        <v>166</v>
      </c>
      <c r="E154" s="16">
        <v>1</v>
      </c>
      <c r="F154" s="16">
        <v>1</v>
      </c>
      <c r="G154" s="41">
        <f t="shared" ref="G154:G177" si="20">E154*F154</f>
        <v>1</v>
      </c>
      <c r="H154" s="14" t="s">
        <v>3</v>
      </c>
      <c r="I154" s="19"/>
      <c r="J154" s="19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</row>
    <row r="155" spans="1:68" s="18" customFormat="1" x14ac:dyDescent="0.3">
      <c r="A155" s="13">
        <v>2</v>
      </c>
      <c r="B155" s="15" t="s">
        <v>40</v>
      </c>
      <c r="C155" s="16" t="s">
        <v>87</v>
      </c>
      <c r="D155" s="46" t="s">
        <v>127</v>
      </c>
      <c r="E155" s="16">
        <v>1</v>
      </c>
      <c r="F155" s="16">
        <f>F152</f>
        <v>1</v>
      </c>
      <c r="G155" s="14">
        <f t="shared" si="20"/>
        <v>1</v>
      </c>
      <c r="H155" s="14" t="s">
        <v>3</v>
      </c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</row>
    <row r="156" spans="1:68" s="35" customFormat="1" x14ac:dyDescent="0.3">
      <c r="A156" s="36">
        <v>3</v>
      </c>
      <c r="B156" s="15" t="s">
        <v>38</v>
      </c>
      <c r="C156" s="16" t="s">
        <v>87</v>
      </c>
      <c r="D156" s="12" t="s">
        <v>120</v>
      </c>
      <c r="E156" s="16">
        <v>1</v>
      </c>
      <c r="F156" s="16">
        <v>1</v>
      </c>
      <c r="G156" s="41">
        <f t="shared" ref="G156" si="21">E156*F156</f>
        <v>1</v>
      </c>
      <c r="H156" s="14" t="s">
        <v>3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</row>
    <row r="157" spans="1:68" s="35" customFormat="1" x14ac:dyDescent="0.3">
      <c r="A157" s="13">
        <v>4</v>
      </c>
      <c r="B157" s="15" t="s">
        <v>169</v>
      </c>
      <c r="C157" s="16" t="s">
        <v>87</v>
      </c>
      <c r="D157" s="12" t="s">
        <v>119</v>
      </c>
      <c r="E157" s="16">
        <v>1</v>
      </c>
      <c r="F157" s="16">
        <v>1</v>
      </c>
      <c r="G157" s="41">
        <f t="shared" si="20"/>
        <v>1</v>
      </c>
      <c r="H157" s="14" t="s">
        <v>3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</row>
    <row r="158" spans="1:68" x14ac:dyDescent="0.3">
      <c r="A158" s="36">
        <v>5</v>
      </c>
      <c r="B158" s="11" t="s">
        <v>204</v>
      </c>
      <c r="C158" s="12" t="s">
        <v>205</v>
      </c>
      <c r="D158" s="54" t="s">
        <v>134</v>
      </c>
      <c r="E158" s="16">
        <v>1</v>
      </c>
      <c r="F158" s="16">
        <f t="shared" ref="F158" si="22">F157</f>
        <v>1</v>
      </c>
      <c r="G158" s="14">
        <f t="shared" si="20"/>
        <v>1</v>
      </c>
      <c r="H158" s="14" t="s">
        <v>3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</row>
    <row r="159" spans="1:68" s="8" customFormat="1" x14ac:dyDescent="0.3">
      <c r="A159" s="13">
        <v>6</v>
      </c>
      <c r="B159" s="11" t="s">
        <v>35</v>
      </c>
      <c r="C159" s="12" t="s">
        <v>5</v>
      </c>
      <c r="D159" s="12" t="s">
        <v>30</v>
      </c>
      <c r="E159" s="12">
        <v>1</v>
      </c>
      <c r="F159" s="16">
        <f t="shared" ref="F159" si="23">F157</f>
        <v>1</v>
      </c>
      <c r="G159" s="6">
        <f t="shared" ref="G159" si="24">E159*F159</f>
        <v>1</v>
      </c>
      <c r="H159" s="14" t="s">
        <v>3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</row>
    <row r="160" spans="1:68" s="8" customFormat="1" x14ac:dyDescent="0.3">
      <c r="A160" s="36">
        <v>7</v>
      </c>
      <c r="B160" s="11" t="s">
        <v>6</v>
      </c>
      <c r="C160" s="12" t="s">
        <v>7</v>
      </c>
      <c r="D160" s="12" t="s">
        <v>59</v>
      </c>
      <c r="E160" s="12">
        <v>1</v>
      </c>
      <c r="F160" s="12">
        <f>F157</f>
        <v>1</v>
      </c>
      <c r="G160" s="6">
        <f t="shared" si="20"/>
        <v>1</v>
      </c>
      <c r="H160" s="14" t="s">
        <v>3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</row>
    <row r="161" spans="1:68" s="8" customFormat="1" x14ac:dyDescent="0.3">
      <c r="A161" s="13">
        <v>8</v>
      </c>
      <c r="B161" s="11" t="s">
        <v>31</v>
      </c>
      <c r="C161" s="12" t="s">
        <v>5</v>
      </c>
      <c r="D161" s="12" t="s">
        <v>32</v>
      </c>
      <c r="E161" s="12">
        <v>1</v>
      </c>
      <c r="F161" s="12">
        <f>F157</f>
        <v>1</v>
      </c>
      <c r="G161" s="6">
        <f t="shared" si="20"/>
        <v>1</v>
      </c>
      <c r="H161" s="14" t="s">
        <v>3</v>
      </c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</row>
    <row r="162" spans="1:68" s="35" customFormat="1" x14ac:dyDescent="0.3">
      <c r="A162" s="36">
        <v>9</v>
      </c>
      <c r="B162" s="15" t="s">
        <v>66</v>
      </c>
      <c r="C162" s="16" t="s">
        <v>5</v>
      </c>
      <c r="D162" s="16" t="s">
        <v>59</v>
      </c>
      <c r="E162" s="16">
        <v>1</v>
      </c>
      <c r="F162" s="16">
        <v>1</v>
      </c>
      <c r="G162" s="41">
        <f t="shared" si="20"/>
        <v>1</v>
      </c>
      <c r="H162" s="14" t="s">
        <v>67</v>
      </c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</row>
    <row r="163" spans="1:68" s="8" customFormat="1" x14ac:dyDescent="0.3">
      <c r="A163" s="13">
        <v>10</v>
      </c>
      <c r="B163" s="11" t="s">
        <v>19</v>
      </c>
      <c r="C163" s="12" t="s">
        <v>20</v>
      </c>
      <c r="D163" s="12" t="s">
        <v>59</v>
      </c>
      <c r="E163" s="12">
        <v>4</v>
      </c>
      <c r="F163" s="12">
        <f>F155</f>
        <v>1</v>
      </c>
      <c r="G163" s="6">
        <f t="shared" si="20"/>
        <v>4</v>
      </c>
      <c r="H163" s="14" t="s">
        <v>3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</row>
    <row r="164" spans="1:68" s="35" customFormat="1" x14ac:dyDescent="0.3">
      <c r="A164" s="36">
        <v>11</v>
      </c>
      <c r="B164" s="15" t="s">
        <v>168</v>
      </c>
      <c r="C164" s="16" t="s">
        <v>17</v>
      </c>
      <c r="D164" s="16" t="s">
        <v>59</v>
      </c>
      <c r="E164" s="16">
        <v>4</v>
      </c>
      <c r="F164" s="16">
        <v>1</v>
      </c>
      <c r="G164" s="41">
        <f t="shared" si="20"/>
        <v>4</v>
      </c>
      <c r="H164" s="14" t="s">
        <v>3</v>
      </c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</row>
    <row r="165" spans="1:68" s="8" customFormat="1" x14ac:dyDescent="0.3">
      <c r="A165" s="13">
        <v>12</v>
      </c>
      <c r="B165" s="11" t="s">
        <v>170</v>
      </c>
      <c r="C165" s="12" t="s">
        <v>17</v>
      </c>
      <c r="D165" s="12" t="s">
        <v>59</v>
      </c>
      <c r="E165" s="12">
        <v>1</v>
      </c>
      <c r="F165" s="12">
        <f>F152</f>
        <v>1</v>
      </c>
      <c r="G165" s="6">
        <f t="shared" ref="G165" si="25">E165*F165</f>
        <v>1</v>
      </c>
      <c r="H165" s="14" t="s">
        <v>3</v>
      </c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</row>
    <row r="166" spans="1:68" s="8" customFormat="1" x14ac:dyDescent="0.3">
      <c r="A166" s="36">
        <v>13</v>
      </c>
      <c r="B166" s="11" t="s">
        <v>22</v>
      </c>
      <c r="C166" s="12" t="s">
        <v>17</v>
      </c>
      <c r="D166" s="12" t="s">
        <v>59</v>
      </c>
      <c r="E166" s="12">
        <v>14</v>
      </c>
      <c r="F166" s="12">
        <f>F153</f>
        <v>1</v>
      </c>
      <c r="G166" s="6">
        <f t="shared" si="20"/>
        <v>14</v>
      </c>
      <c r="H166" s="14" t="s">
        <v>3</v>
      </c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</row>
    <row r="167" spans="1:68" s="35" customFormat="1" ht="15.75" customHeight="1" x14ac:dyDescent="0.3">
      <c r="A167" s="4">
        <v>7</v>
      </c>
      <c r="B167" s="2" t="s">
        <v>171</v>
      </c>
      <c r="C167" s="56"/>
      <c r="D167" s="56"/>
      <c r="E167" s="17">
        <v>1</v>
      </c>
      <c r="F167" s="17">
        <v>1</v>
      </c>
      <c r="G167" s="3">
        <f t="shared" ref="G167:G176" si="26">E167*F167</f>
        <v>1</v>
      </c>
      <c r="H167" s="3" t="s">
        <v>3</v>
      </c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</row>
    <row r="168" spans="1:68" s="35" customFormat="1" x14ac:dyDescent="0.3">
      <c r="A168" s="36">
        <v>1</v>
      </c>
      <c r="B168" s="15" t="s">
        <v>68</v>
      </c>
      <c r="C168" s="16" t="s">
        <v>87</v>
      </c>
      <c r="D168" s="12" t="s">
        <v>172</v>
      </c>
      <c r="E168" s="16">
        <v>1</v>
      </c>
      <c r="F168" s="16">
        <v>1</v>
      </c>
      <c r="G168" s="41">
        <f t="shared" si="26"/>
        <v>1</v>
      </c>
      <c r="H168" s="14" t="s">
        <v>3</v>
      </c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</row>
    <row r="169" spans="1:68" s="35" customFormat="1" x14ac:dyDescent="0.3">
      <c r="A169" s="36">
        <v>2</v>
      </c>
      <c r="B169" s="15" t="s">
        <v>90</v>
      </c>
      <c r="C169" s="16" t="s">
        <v>17</v>
      </c>
      <c r="D169" s="16" t="s">
        <v>59</v>
      </c>
      <c r="E169" s="16">
        <v>1</v>
      </c>
      <c r="F169" s="16">
        <v>1</v>
      </c>
      <c r="G169" s="41">
        <f t="shared" si="26"/>
        <v>1</v>
      </c>
      <c r="H169" s="14" t="s">
        <v>3</v>
      </c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</row>
    <row r="170" spans="1:68" s="8" customFormat="1" x14ac:dyDescent="0.3">
      <c r="A170" s="13">
        <v>3</v>
      </c>
      <c r="B170" s="11" t="s">
        <v>70</v>
      </c>
      <c r="C170" s="12" t="s">
        <v>5</v>
      </c>
      <c r="D170" s="16" t="s">
        <v>29</v>
      </c>
      <c r="E170" s="12">
        <v>1</v>
      </c>
      <c r="F170" s="12">
        <f>F169</f>
        <v>1</v>
      </c>
      <c r="G170" s="6">
        <f t="shared" si="26"/>
        <v>1</v>
      </c>
      <c r="H170" s="14" t="s">
        <v>3</v>
      </c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</row>
    <row r="171" spans="1:68" s="35" customFormat="1" x14ac:dyDescent="0.3">
      <c r="A171" s="13">
        <v>4</v>
      </c>
      <c r="B171" s="15" t="s">
        <v>168</v>
      </c>
      <c r="C171" s="16" t="s">
        <v>17</v>
      </c>
      <c r="D171" s="16" t="s">
        <v>59</v>
      </c>
      <c r="E171" s="16">
        <v>4</v>
      </c>
      <c r="F171" s="16">
        <v>1</v>
      </c>
      <c r="G171" s="41">
        <f t="shared" si="26"/>
        <v>4</v>
      </c>
      <c r="H171" s="14" t="s">
        <v>3</v>
      </c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</row>
    <row r="172" spans="1:68" s="35" customFormat="1" ht="15.75" customHeight="1" x14ac:dyDescent="0.3">
      <c r="A172" s="4">
        <v>8</v>
      </c>
      <c r="B172" s="2" t="s">
        <v>171</v>
      </c>
      <c r="C172" s="56"/>
      <c r="D172" s="56"/>
      <c r="E172" s="17">
        <v>1</v>
      </c>
      <c r="F172" s="17">
        <v>1</v>
      </c>
      <c r="G172" s="3">
        <f t="shared" si="26"/>
        <v>1</v>
      </c>
      <c r="H172" s="3" t="s">
        <v>3</v>
      </c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</row>
    <row r="173" spans="1:68" s="35" customFormat="1" x14ac:dyDescent="0.3">
      <c r="A173" s="36">
        <v>1</v>
      </c>
      <c r="B173" s="15" t="s">
        <v>173</v>
      </c>
      <c r="C173" s="16" t="s">
        <v>87</v>
      </c>
      <c r="D173" s="12" t="s">
        <v>174</v>
      </c>
      <c r="E173" s="16">
        <v>1</v>
      </c>
      <c r="F173" s="16">
        <v>1</v>
      </c>
      <c r="G173" s="41">
        <f t="shared" si="26"/>
        <v>1</v>
      </c>
      <c r="H173" s="14" t="s">
        <v>3</v>
      </c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</row>
    <row r="174" spans="1:68" s="35" customFormat="1" x14ac:dyDescent="0.3">
      <c r="A174" s="36">
        <v>2</v>
      </c>
      <c r="B174" s="15" t="s">
        <v>90</v>
      </c>
      <c r="C174" s="16" t="s">
        <v>17</v>
      </c>
      <c r="D174" s="16" t="s">
        <v>59</v>
      </c>
      <c r="E174" s="16">
        <v>1</v>
      </c>
      <c r="F174" s="16">
        <v>1</v>
      </c>
      <c r="G174" s="41">
        <f t="shared" si="26"/>
        <v>1</v>
      </c>
      <c r="H174" s="14" t="s">
        <v>3</v>
      </c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</row>
    <row r="175" spans="1:68" s="8" customFormat="1" x14ac:dyDescent="0.3">
      <c r="A175" s="13">
        <v>3</v>
      </c>
      <c r="B175" s="11" t="s">
        <v>70</v>
      </c>
      <c r="C175" s="12" t="s">
        <v>5</v>
      </c>
      <c r="D175" s="16" t="s">
        <v>29</v>
      </c>
      <c r="E175" s="12">
        <v>1</v>
      </c>
      <c r="F175" s="12">
        <f>F174</f>
        <v>1</v>
      </c>
      <c r="G175" s="6">
        <f t="shared" si="26"/>
        <v>1</v>
      </c>
      <c r="H175" s="14" t="s">
        <v>3</v>
      </c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</row>
    <row r="176" spans="1:68" s="35" customFormat="1" x14ac:dyDescent="0.3">
      <c r="A176" s="13">
        <v>4</v>
      </c>
      <c r="B176" s="15" t="s">
        <v>103</v>
      </c>
      <c r="C176" s="16" t="s">
        <v>17</v>
      </c>
      <c r="D176" s="16" t="s">
        <v>59</v>
      </c>
      <c r="E176" s="16">
        <v>4</v>
      </c>
      <c r="F176" s="16">
        <v>1</v>
      </c>
      <c r="G176" s="41">
        <f t="shared" si="26"/>
        <v>4</v>
      </c>
      <c r="H176" s="14" t="s">
        <v>3</v>
      </c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</row>
    <row r="177" spans="1:68" s="35" customFormat="1" ht="15.75" customHeight="1" x14ac:dyDescent="0.3">
      <c r="A177" s="4">
        <v>9</v>
      </c>
      <c r="B177" s="2" t="s">
        <v>171</v>
      </c>
      <c r="C177" s="56"/>
      <c r="D177" s="56"/>
      <c r="E177" s="17">
        <v>1</v>
      </c>
      <c r="F177" s="17">
        <v>1</v>
      </c>
      <c r="G177" s="3">
        <f t="shared" si="20"/>
        <v>1</v>
      </c>
      <c r="H177" s="3" t="s">
        <v>3</v>
      </c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</row>
    <row r="178" spans="1:68" s="35" customFormat="1" x14ac:dyDescent="0.3">
      <c r="A178" s="36">
        <v>1</v>
      </c>
      <c r="B178" s="15" t="s">
        <v>49</v>
      </c>
      <c r="C178" s="16" t="s">
        <v>87</v>
      </c>
      <c r="D178" s="12" t="s">
        <v>175</v>
      </c>
      <c r="E178" s="16">
        <v>1</v>
      </c>
      <c r="F178" s="16">
        <v>1</v>
      </c>
      <c r="G178" s="41">
        <f t="shared" ref="G178:G181" si="27">E178*F178</f>
        <v>1</v>
      </c>
      <c r="H178" s="14" t="s">
        <v>3</v>
      </c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</row>
    <row r="179" spans="1:68" s="35" customFormat="1" x14ac:dyDescent="0.3">
      <c r="A179" s="36">
        <v>2</v>
      </c>
      <c r="B179" s="15" t="s">
        <v>90</v>
      </c>
      <c r="C179" s="16" t="s">
        <v>17</v>
      </c>
      <c r="D179" s="16" t="s">
        <v>59</v>
      </c>
      <c r="E179" s="16">
        <v>1</v>
      </c>
      <c r="F179" s="16">
        <v>1</v>
      </c>
      <c r="G179" s="41">
        <f t="shared" si="27"/>
        <v>1</v>
      </c>
      <c r="H179" s="14" t="s">
        <v>3</v>
      </c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</row>
    <row r="180" spans="1:68" s="8" customFormat="1" x14ac:dyDescent="0.3">
      <c r="A180" s="13">
        <v>3</v>
      </c>
      <c r="B180" s="11" t="s">
        <v>70</v>
      </c>
      <c r="C180" s="12" t="s">
        <v>5</v>
      </c>
      <c r="D180" s="16" t="s">
        <v>29</v>
      </c>
      <c r="E180" s="12">
        <v>1</v>
      </c>
      <c r="F180" s="12">
        <f>F179</f>
        <v>1</v>
      </c>
      <c r="G180" s="6">
        <f t="shared" si="27"/>
        <v>1</v>
      </c>
      <c r="H180" s="14" t="s">
        <v>3</v>
      </c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</row>
    <row r="181" spans="1:68" s="35" customFormat="1" x14ac:dyDescent="0.3">
      <c r="A181" s="13">
        <v>4</v>
      </c>
      <c r="B181" s="15" t="s">
        <v>103</v>
      </c>
      <c r="C181" s="16" t="s">
        <v>17</v>
      </c>
      <c r="D181" s="16" t="s">
        <v>59</v>
      </c>
      <c r="E181" s="16">
        <v>4</v>
      </c>
      <c r="F181" s="16">
        <v>1</v>
      </c>
      <c r="G181" s="41">
        <f t="shared" si="27"/>
        <v>4</v>
      </c>
      <c r="H181" s="14" t="s">
        <v>3</v>
      </c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</row>
    <row r="182" spans="1:68" s="8" customFormat="1" ht="15.6" x14ac:dyDescent="0.3">
      <c r="A182" s="4">
        <v>10</v>
      </c>
      <c r="B182" s="2" t="s">
        <v>176</v>
      </c>
      <c r="C182" s="56"/>
      <c r="D182" s="56"/>
      <c r="E182" s="17">
        <v>1</v>
      </c>
      <c r="F182" s="17">
        <v>8</v>
      </c>
      <c r="G182" s="3">
        <f t="shared" si="18"/>
        <v>8</v>
      </c>
      <c r="H182" s="3" t="s">
        <v>3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</row>
    <row r="183" spans="1:68" s="7" customFormat="1" x14ac:dyDescent="0.3">
      <c r="A183" s="13">
        <v>1</v>
      </c>
      <c r="B183" s="11" t="s">
        <v>177</v>
      </c>
      <c r="C183" s="16" t="s">
        <v>87</v>
      </c>
      <c r="D183" s="12" t="s">
        <v>175</v>
      </c>
      <c r="E183" s="12">
        <v>8</v>
      </c>
      <c r="F183" s="12">
        <v>1</v>
      </c>
      <c r="G183" s="6">
        <f t="shared" ref="G183" si="28">E183*F183</f>
        <v>8</v>
      </c>
      <c r="H183" s="14" t="s">
        <v>3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</row>
    <row r="184" spans="1:68" s="7" customFormat="1" x14ac:dyDescent="0.3">
      <c r="A184" s="13">
        <v>2</v>
      </c>
      <c r="B184" s="11" t="s">
        <v>63</v>
      </c>
      <c r="C184" s="16" t="s">
        <v>87</v>
      </c>
      <c r="D184" s="12" t="s">
        <v>120</v>
      </c>
      <c r="E184" s="12">
        <v>1</v>
      </c>
      <c r="F184" s="12">
        <v>1</v>
      </c>
      <c r="G184" s="6">
        <f t="shared" si="18"/>
        <v>1</v>
      </c>
      <c r="H184" s="14" t="s">
        <v>3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</row>
    <row r="185" spans="1:68" s="18" customFormat="1" x14ac:dyDescent="0.3">
      <c r="A185" s="13">
        <v>3</v>
      </c>
      <c r="B185" s="15" t="s">
        <v>40</v>
      </c>
      <c r="C185" s="16" t="s">
        <v>87</v>
      </c>
      <c r="D185" s="46" t="s">
        <v>127</v>
      </c>
      <c r="E185" s="16">
        <v>8</v>
      </c>
      <c r="F185" s="16">
        <f>F181</f>
        <v>1</v>
      </c>
      <c r="G185" s="14">
        <f t="shared" si="18"/>
        <v>8</v>
      </c>
      <c r="H185" s="14" t="s">
        <v>3</v>
      </c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</row>
    <row r="186" spans="1:68" s="8" customFormat="1" x14ac:dyDescent="0.3">
      <c r="A186" s="13">
        <v>4</v>
      </c>
      <c r="B186" s="11" t="s">
        <v>31</v>
      </c>
      <c r="C186" s="12" t="s">
        <v>5</v>
      </c>
      <c r="D186" s="12" t="s">
        <v>32</v>
      </c>
      <c r="E186" s="12">
        <v>8</v>
      </c>
      <c r="F186" s="12">
        <v>1</v>
      </c>
      <c r="G186" s="6">
        <f t="shared" si="18"/>
        <v>8</v>
      </c>
      <c r="H186" s="14" t="s">
        <v>3</v>
      </c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</row>
    <row r="187" spans="1:68" s="9" customFormat="1" ht="12.75" customHeight="1" x14ac:dyDescent="0.3">
      <c r="A187" s="13">
        <v>5</v>
      </c>
      <c r="B187" s="39" t="s">
        <v>97</v>
      </c>
      <c r="C187" s="37" t="s">
        <v>21</v>
      </c>
      <c r="D187" s="40"/>
      <c r="E187" s="38">
        <v>2</v>
      </c>
      <c r="F187" s="12">
        <v>1</v>
      </c>
      <c r="G187" s="38">
        <f t="shared" ref="G187" si="29">E187*F187</f>
        <v>2</v>
      </c>
      <c r="H187" s="37" t="s">
        <v>3</v>
      </c>
    </row>
    <row r="188" spans="1:68" s="8" customFormat="1" x14ac:dyDescent="0.3">
      <c r="A188" s="13">
        <v>6</v>
      </c>
      <c r="B188" s="11" t="s">
        <v>19</v>
      </c>
      <c r="C188" s="12" t="s">
        <v>20</v>
      </c>
      <c r="D188" s="12" t="s">
        <v>59</v>
      </c>
      <c r="E188" s="12">
        <v>1</v>
      </c>
      <c r="F188" s="12">
        <v>1</v>
      </c>
      <c r="G188" s="6">
        <f t="shared" ref="G188:G191" si="30">E188*F188</f>
        <v>1</v>
      </c>
      <c r="H188" s="14" t="s">
        <v>3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</row>
    <row r="189" spans="1:68" s="35" customFormat="1" x14ac:dyDescent="0.3">
      <c r="A189" s="13">
        <v>7</v>
      </c>
      <c r="B189" s="15" t="s">
        <v>90</v>
      </c>
      <c r="C189" s="16" t="s">
        <v>17</v>
      </c>
      <c r="D189" s="16" t="s">
        <v>59</v>
      </c>
      <c r="E189" s="16">
        <v>2</v>
      </c>
      <c r="F189" s="16">
        <v>1</v>
      </c>
      <c r="G189" s="41">
        <f t="shared" si="30"/>
        <v>2</v>
      </c>
      <c r="H189" s="14" t="s">
        <v>3</v>
      </c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</row>
    <row r="190" spans="1:68" s="9" customFormat="1" ht="16.5" customHeight="1" x14ac:dyDescent="0.3">
      <c r="A190" s="13">
        <v>8</v>
      </c>
      <c r="B190" s="11" t="s">
        <v>22</v>
      </c>
      <c r="C190" s="16" t="s">
        <v>17</v>
      </c>
      <c r="D190" s="16" t="s">
        <v>59</v>
      </c>
      <c r="E190" s="12">
        <v>4</v>
      </c>
      <c r="F190" s="12">
        <f>F188</f>
        <v>1</v>
      </c>
      <c r="G190" s="14">
        <f t="shared" si="30"/>
        <v>4</v>
      </c>
      <c r="H190" s="14" t="s">
        <v>3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</row>
    <row r="191" spans="1:68" s="8" customFormat="1" x14ac:dyDescent="0.3">
      <c r="A191" s="13">
        <v>9</v>
      </c>
      <c r="B191" s="47" t="s">
        <v>79</v>
      </c>
      <c r="C191" s="46" t="s">
        <v>78</v>
      </c>
      <c r="D191" s="12" t="s">
        <v>59</v>
      </c>
      <c r="E191" s="12">
        <v>1</v>
      </c>
      <c r="F191" s="12">
        <f t="shared" ref="F191" si="31">F190</f>
        <v>1</v>
      </c>
      <c r="G191" s="6">
        <f t="shared" si="30"/>
        <v>1</v>
      </c>
      <c r="H191" s="14" t="s">
        <v>3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52"/>
      <c r="X191" s="52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</row>
    <row r="192" spans="1:68" s="52" customFormat="1" ht="15.6" x14ac:dyDescent="0.3">
      <c r="A192" s="26" t="s">
        <v>46</v>
      </c>
      <c r="B192" s="27" t="s">
        <v>80</v>
      </c>
      <c r="C192" s="57"/>
      <c r="D192" s="58"/>
      <c r="E192" s="28">
        <v>1</v>
      </c>
      <c r="F192" s="28">
        <v>1</v>
      </c>
      <c r="G192" s="29">
        <f>E192*F192</f>
        <v>1</v>
      </c>
      <c r="H192" s="29" t="s">
        <v>3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68" s="9" customFormat="1" ht="16.5" customHeight="1" x14ac:dyDescent="0.3">
      <c r="A193" s="45">
        <v>1</v>
      </c>
      <c r="B193" s="31" t="s">
        <v>178</v>
      </c>
      <c r="C193" s="16" t="s">
        <v>87</v>
      </c>
      <c r="D193" s="53" t="s">
        <v>189</v>
      </c>
      <c r="E193" s="12">
        <v>1</v>
      </c>
      <c r="F193" s="12">
        <v>1</v>
      </c>
      <c r="G193" s="14">
        <f t="shared" ref="G193:G203" si="32">E193*F193</f>
        <v>1</v>
      </c>
      <c r="H193" s="14" t="s">
        <v>3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</row>
    <row r="194" spans="1:68" s="9" customFormat="1" ht="16.5" customHeight="1" x14ac:dyDescent="0.3">
      <c r="A194" s="45">
        <v>2</v>
      </c>
      <c r="B194" s="31" t="s">
        <v>179</v>
      </c>
      <c r="C194" s="16" t="s">
        <v>87</v>
      </c>
      <c r="D194" s="53" t="s">
        <v>106</v>
      </c>
      <c r="E194" s="12">
        <v>1</v>
      </c>
      <c r="F194" s="12">
        <v>1</v>
      </c>
      <c r="G194" s="14">
        <f t="shared" si="32"/>
        <v>1</v>
      </c>
      <c r="H194" s="14" t="s">
        <v>3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</row>
    <row r="195" spans="1:68" s="9" customFormat="1" ht="16.5" customHeight="1" x14ac:dyDescent="0.3">
      <c r="A195" s="45">
        <v>3</v>
      </c>
      <c r="B195" s="31" t="s">
        <v>180</v>
      </c>
      <c r="C195" s="16" t="s">
        <v>87</v>
      </c>
      <c r="D195" s="53" t="s">
        <v>190</v>
      </c>
      <c r="E195" s="12">
        <v>1</v>
      </c>
      <c r="F195" s="12">
        <v>1</v>
      </c>
      <c r="G195" s="14">
        <f t="shared" si="32"/>
        <v>1</v>
      </c>
      <c r="H195" s="14" t="s">
        <v>3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</row>
    <row r="196" spans="1:68" s="9" customFormat="1" ht="16.5" customHeight="1" x14ac:dyDescent="0.3">
      <c r="A196" s="45">
        <v>4</v>
      </c>
      <c r="B196" s="31" t="s">
        <v>181</v>
      </c>
      <c r="C196" s="16" t="s">
        <v>87</v>
      </c>
      <c r="D196" s="53" t="s">
        <v>94</v>
      </c>
      <c r="E196" s="12">
        <v>2</v>
      </c>
      <c r="F196" s="12">
        <v>1</v>
      </c>
      <c r="G196" s="14">
        <f t="shared" si="32"/>
        <v>2</v>
      </c>
      <c r="H196" s="14" t="s">
        <v>3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</row>
    <row r="197" spans="1:68" s="9" customFormat="1" ht="16.5" customHeight="1" x14ac:dyDescent="0.3">
      <c r="A197" s="45">
        <v>5</v>
      </c>
      <c r="B197" s="31" t="s">
        <v>182</v>
      </c>
      <c r="C197" s="16" t="s">
        <v>87</v>
      </c>
      <c r="D197" s="53" t="s">
        <v>191</v>
      </c>
      <c r="E197" s="12">
        <v>3</v>
      </c>
      <c r="F197" s="12">
        <v>1</v>
      </c>
      <c r="G197" s="14">
        <f t="shared" si="32"/>
        <v>3</v>
      </c>
      <c r="H197" s="14" t="s">
        <v>3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</row>
    <row r="198" spans="1:68" s="9" customFormat="1" ht="16.5" customHeight="1" x14ac:dyDescent="0.3">
      <c r="A198" s="45">
        <v>6</v>
      </c>
      <c r="B198" s="31" t="s">
        <v>183</v>
      </c>
      <c r="C198" s="16" t="s">
        <v>111</v>
      </c>
      <c r="D198" s="55" t="s">
        <v>95</v>
      </c>
      <c r="E198" s="12">
        <v>1</v>
      </c>
      <c r="F198" s="12">
        <v>1</v>
      </c>
      <c r="G198" s="14">
        <f t="shared" si="32"/>
        <v>1</v>
      </c>
      <c r="H198" s="14" t="s">
        <v>112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</row>
    <row r="199" spans="1:68" s="9" customFormat="1" ht="16.5" customHeight="1" x14ac:dyDescent="0.3">
      <c r="A199" s="45">
        <v>7</v>
      </c>
      <c r="B199" s="31" t="s">
        <v>184</v>
      </c>
      <c r="C199" s="16" t="s">
        <v>111</v>
      </c>
      <c r="D199" s="55" t="s">
        <v>107</v>
      </c>
      <c r="E199" s="12">
        <v>2</v>
      </c>
      <c r="F199" s="12">
        <v>1</v>
      </c>
      <c r="G199" s="14">
        <f t="shared" si="32"/>
        <v>2</v>
      </c>
      <c r="H199" s="14" t="s">
        <v>112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</row>
    <row r="200" spans="1:68" s="9" customFormat="1" ht="16.5" customHeight="1" x14ac:dyDescent="0.3">
      <c r="A200" s="45">
        <v>8</v>
      </c>
      <c r="B200" s="31" t="s">
        <v>185</v>
      </c>
      <c r="C200" s="16" t="s">
        <v>111</v>
      </c>
      <c r="D200" s="55" t="s">
        <v>192</v>
      </c>
      <c r="E200" s="12">
        <v>2</v>
      </c>
      <c r="F200" s="12">
        <v>1</v>
      </c>
      <c r="G200" s="14">
        <f t="shared" si="32"/>
        <v>2</v>
      </c>
      <c r="H200" s="14" t="s">
        <v>112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</row>
    <row r="201" spans="1:68" s="9" customFormat="1" ht="16.5" customHeight="1" x14ac:dyDescent="0.3">
      <c r="A201" s="45">
        <v>9</v>
      </c>
      <c r="B201" s="31" t="s">
        <v>186</v>
      </c>
      <c r="C201" s="16" t="s">
        <v>111</v>
      </c>
      <c r="D201" s="55" t="s">
        <v>108</v>
      </c>
      <c r="E201" s="12">
        <v>1</v>
      </c>
      <c r="F201" s="12">
        <v>1</v>
      </c>
      <c r="G201" s="14">
        <f t="shared" si="32"/>
        <v>1</v>
      </c>
      <c r="H201" s="14" t="s">
        <v>113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</row>
    <row r="202" spans="1:68" s="9" customFormat="1" ht="16.5" customHeight="1" x14ac:dyDescent="0.3">
      <c r="A202" s="45">
        <v>10</v>
      </c>
      <c r="B202" s="31" t="s">
        <v>187</v>
      </c>
      <c r="C202" s="16" t="s">
        <v>111</v>
      </c>
      <c r="D202" s="55" t="s">
        <v>193</v>
      </c>
      <c r="E202" s="12">
        <v>1</v>
      </c>
      <c r="F202" s="12">
        <v>1</v>
      </c>
      <c r="G202" s="14">
        <f t="shared" si="32"/>
        <v>1</v>
      </c>
      <c r="H202" s="14" t="s">
        <v>113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</row>
    <row r="203" spans="1:68" s="9" customFormat="1" ht="16.5" customHeight="1" x14ac:dyDescent="0.3">
      <c r="A203" s="45">
        <v>11</v>
      </c>
      <c r="B203" s="31" t="s">
        <v>188</v>
      </c>
      <c r="C203" s="16" t="s">
        <v>111</v>
      </c>
      <c r="D203" s="55" t="s">
        <v>194</v>
      </c>
      <c r="E203" s="12">
        <v>1</v>
      </c>
      <c r="F203" s="12">
        <v>1</v>
      </c>
      <c r="G203" s="14">
        <f t="shared" si="32"/>
        <v>1</v>
      </c>
      <c r="H203" s="14" t="s">
        <v>113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</row>
    <row r="204" spans="1:68" s="52" customFormat="1" ht="15.6" x14ac:dyDescent="0.3">
      <c r="A204" s="26" t="s">
        <v>114</v>
      </c>
      <c r="B204" s="27" t="s">
        <v>115</v>
      </c>
      <c r="C204" s="57"/>
      <c r="D204" s="58"/>
      <c r="E204" s="28">
        <v>1</v>
      </c>
      <c r="F204" s="28">
        <v>1</v>
      </c>
      <c r="G204" s="29">
        <f>E204*F204</f>
        <v>1</v>
      </c>
      <c r="H204" s="29" t="s">
        <v>3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68" s="10" customFormat="1" x14ac:dyDescent="0.3">
      <c r="A205" s="45">
        <v>1</v>
      </c>
      <c r="B205" s="15" t="s">
        <v>195</v>
      </c>
      <c r="C205" s="12" t="s">
        <v>87</v>
      </c>
      <c r="D205" s="12" t="s">
        <v>196</v>
      </c>
      <c r="E205" s="16">
        <v>1</v>
      </c>
      <c r="F205" s="16">
        <v>1</v>
      </c>
      <c r="G205" s="14">
        <f t="shared" ref="G205:G207" si="33">E205*F205</f>
        <v>1</v>
      </c>
      <c r="H205" s="14" t="s">
        <v>3</v>
      </c>
    </row>
    <row r="206" spans="1:68" s="10" customFormat="1" x14ac:dyDescent="0.3">
      <c r="A206" s="45">
        <v>2</v>
      </c>
      <c r="B206" s="15" t="s">
        <v>60</v>
      </c>
      <c r="C206" s="12" t="s">
        <v>87</v>
      </c>
      <c r="D206" s="12" t="s">
        <v>175</v>
      </c>
      <c r="E206" s="16">
        <v>5</v>
      </c>
      <c r="F206" s="16">
        <v>1</v>
      </c>
      <c r="G206" s="14">
        <f t="shared" si="33"/>
        <v>5</v>
      </c>
      <c r="H206" s="14" t="s">
        <v>3</v>
      </c>
    </row>
    <row r="207" spans="1:68" s="10" customFormat="1" x14ac:dyDescent="0.3">
      <c r="A207" s="45">
        <v>3</v>
      </c>
      <c r="B207" s="15" t="s">
        <v>86</v>
      </c>
      <c r="C207" s="12" t="s">
        <v>87</v>
      </c>
      <c r="D207" s="12" t="s">
        <v>174</v>
      </c>
      <c r="E207" s="16">
        <v>1</v>
      </c>
      <c r="F207" s="16">
        <v>1</v>
      </c>
      <c r="G207" s="14">
        <f t="shared" si="33"/>
        <v>1</v>
      </c>
      <c r="H207" s="14" t="s">
        <v>3</v>
      </c>
      <c r="I207" s="19"/>
      <c r="J207" s="19"/>
    </row>
    <row r="208" spans="1:68" s="9" customFormat="1" x14ac:dyDescent="0.3">
      <c r="A208" s="45">
        <v>4</v>
      </c>
      <c r="B208" s="11" t="s">
        <v>38</v>
      </c>
      <c r="C208" s="12" t="s">
        <v>87</v>
      </c>
      <c r="D208" s="12" t="s">
        <v>120</v>
      </c>
      <c r="E208" s="12">
        <v>6</v>
      </c>
      <c r="F208" s="16">
        <v>1</v>
      </c>
      <c r="G208" s="6">
        <f>E208*F208</f>
        <v>6</v>
      </c>
      <c r="H208" s="6" t="s">
        <v>3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</row>
    <row r="209" spans="1:68" s="35" customFormat="1" x14ac:dyDescent="0.3">
      <c r="A209" s="45">
        <v>5</v>
      </c>
      <c r="B209" s="15" t="s">
        <v>71</v>
      </c>
      <c r="C209" s="16" t="s">
        <v>50</v>
      </c>
      <c r="D209" s="16" t="s">
        <v>59</v>
      </c>
      <c r="E209" s="16">
        <v>2</v>
      </c>
      <c r="F209" s="16">
        <v>1</v>
      </c>
      <c r="G209" s="41">
        <f t="shared" ref="G209:G214" si="34">E209*F209</f>
        <v>2</v>
      </c>
      <c r="H209" s="14" t="s">
        <v>3</v>
      </c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</row>
    <row r="210" spans="1:68" s="35" customFormat="1" x14ac:dyDescent="0.3">
      <c r="A210" s="45">
        <v>6</v>
      </c>
      <c r="B210" s="15" t="s">
        <v>105</v>
      </c>
      <c r="C210" s="16" t="s">
        <v>50</v>
      </c>
      <c r="D210" s="16" t="s">
        <v>59</v>
      </c>
      <c r="E210" s="16">
        <v>1</v>
      </c>
      <c r="F210" s="16">
        <v>1</v>
      </c>
      <c r="G210" s="41">
        <f t="shared" ref="G210:G211" si="35">E210*F210</f>
        <v>1</v>
      </c>
      <c r="H210" s="14" t="s">
        <v>3</v>
      </c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</row>
    <row r="211" spans="1:68" s="35" customFormat="1" x14ac:dyDescent="0.3">
      <c r="A211" s="45">
        <v>7</v>
      </c>
      <c r="B211" s="15" t="s">
        <v>90</v>
      </c>
      <c r="C211" s="16" t="s">
        <v>17</v>
      </c>
      <c r="D211" s="16" t="s">
        <v>59</v>
      </c>
      <c r="E211" s="16">
        <v>3</v>
      </c>
      <c r="F211" s="16">
        <v>1</v>
      </c>
      <c r="G211" s="41">
        <f t="shared" si="35"/>
        <v>3</v>
      </c>
      <c r="H211" s="14" t="s">
        <v>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</row>
    <row r="212" spans="1:68" s="35" customFormat="1" x14ac:dyDescent="0.3">
      <c r="A212" s="45">
        <v>8</v>
      </c>
      <c r="B212" s="15" t="s">
        <v>199</v>
      </c>
      <c r="C212" s="16" t="s">
        <v>17</v>
      </c>
      <c r="D212" s="16" t="s">
        <v>59</v>
      </c>
      <c r="E212" s="16">
        <v>10</v>
      </c>
      <c r="F212" s="16">
        <v>1</v>
      </c>
      <c r="G212" s="41">
        <f t="shared" si="34"/>
        <v>10</v>
      </c>
      <c r="H212" s="14" t="s">
        <v>3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</row>
    <row r="213" spans="1:68" s="8" customFormat="1" x14ac:dyDescent="0.3">
      <c r="A213" s="45">
        <v>9</v>
      </c>
      <c r="B213" s="11" t="s">
        <v>69</v>
      </c>
      <c r="C213" s="12" t="s">
        <v>5</v>
      </c>
      <c r="D213" s="16"/>
      <c r="E213" s="12">
        <v>1</v>
      </c>
      <c r="F213" s="16">
        <v>1</v>
      </c>
      <c r="G213" s="6">
        <f t="shared" ref="G213" si="36">E213*F213</f>
        <v>1</v>
      </c>
      <c r="H213" s="14" t="s">
        <v>3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</row>
    <row r="214" spans="1:68" s="8" customFormat="1" x14ac:dyDescent="0.3">
      <c r="A214" s="45">
        <v>10</v>
      </c>
      <c r="B214" s="11" t="s">
        <v>70</v>
      </c>
      <c r="C214" s="12" t="s">
        <v>5</v>
      </c>
      <c r="D214" s="16"/>
      <c r="E214" s="12">
        <v>2</v>
      </c>
      <c r="F214" s="16">
        <v>1</v>
      </c>
      <c r="G214" s="6">
        <f t="shared" si="34"/>
        <v>2</v>
      </c>
      <c r="H214" s="14" t="s">
        <v>3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</row>
    <row r="215" spans="1:68" s="9" customFormat="1" ht="16.5" customHeight="1" x14ac:dyDescent="0.3">
      <c r="A215" s="45">
        <v>11</v>
      </c>
      <c r="B215" s="11" t="s">
        <v>88</v>
      </c>
      <c r="C215" s="16" t="s">
        <v>7</v>
      </c>
      <c r="D215" s="16" t="s">
        <v>59</v>
      </c>
      <c r="E215" s="12">
        <v>1</v>
      </c>
      <c r="F215" s="16">
        <v>1</v>
      </c>
      <c r="G215" s="14">
        <f t="shared" ref="G215:G223" si="37">E215*F215</f>
        <v>1</v>
      </c>
      <c r="H215" s="14" t="s">
        <v>3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</row>
    <row r="216" spans="1:68" s="9" customFormat="1" ht="16.5" customHeight="1" x14ac:dyDescent="0.3">
      <c r="A216" s="45">
        <v>12</v>
      </c>
      <c r="B216" s="11" t="s">
        <v>81</v>
      </c>
      <c r="C216" s="16" t="s">
        <v>20</v>
      </c>
      <c r="D216" s="16" t="s">
        <v>59</v>
      </c>
      <c r="E216" s="12">
        <v>4</v>
      </c>
      <c r="F216" s="16">
        <v>1</v>
      </c>
      <c r="G216" s="14">
        <f t="shared" ref="G216:G218" si="38">E216*F216</f>
        <v>4</v>
      </c>
      <c r="H216" s="14" t="s">
        <v>3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</row>
    <row r="217" spans="1:68" s="9" customFormat="1" ht="16.5" customHeight="1" x14ac:dyDescent="0.3">
      <c r="A217" s="45">
        <v>13</v>
      </c>
      <c r="B217" s="11" t="s">
        <v>197</v>
      </c>
      <c r="C217" s="16" t="s">
        <v>5</v>
      </c>
      <c r="D217" s="16" t="s">
        <v>59</v>
      </c>
      <c r="E217" s="12">
        <v>1</v>
      </c>
      <c r="F217" s="16">
        <v>1</v>
      </c>
      <c r="G217" s="14">
        <f t="shared" si="38"/>
        <v>1</v>
      </c>
      <c r="H217" s="14" t="s">
        <v>3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</row>
    <row r="218" spans="1:68" s="9" customFormat="1" ht="16.5" customHeight="1" x14ac:dyDescent="0.3">
      <c r="A218" s="45">
        <v>14</v>
      </c>
      <c r="B218" s="11" t="s">
        <v>198</v>
      </c>
      <c r="C218" s="16" t="s">
        <v>5</v>
      </c>
      <c r="D218" s="16" t="s">
        <v>59</v>
      </c>
      <c r="E218" s="12">
        <v>1</v>
      </c>
      <c r="F218" s="16">
        <v>1</v>
      </c>
      <c r="G218" s="14">
        <f t="shared" si="38"/>
        <v>1</v>
      </c>
      <c r="H218" s="14" t="s">
        <v>3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</row>
    <row r="219" spans="1:68" s="9" customFormat="1" ht="16.5" customHeight="1" x14ac:dyDescent="0.3">
      <c r="A219" s="45">
        <v>15</v>
      </c>
      <c r="B219" s="11" t="s">
        <v>109</v>
      </c>
      <c r="C219" s="16" t="s">
        <v>93</v>
      </c>
      <c r="D219" s="16" t="s">
        <v>59</v>
      </c>
      <c r="E219" s="12">
        <v>1</v>
      </c>
      <c r="F219" s="16">
        <v>1</v>
      </c>
      <c r="G219" s="14">
        <f t="shared" si="37"/>
        <v>1</v>
      </c>
      <c r="H219" s="14" t="s">
        <v>3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</row>
    <row r="220" spans="1:68" s="9" customFormat="1" ht="16.5" customHeight="1" x14ac:dyDescent="0.3">
      <c r="A220" s="45">
        <v>16</v>
      </c>
      <c r="B220" s="11" t="s">
        <v>82</v>
      </c>
      <c r="C220" s="16" t="s">
        <v>17</v>
      </c>
      <c r="D220" s="16" t="s">
        <v>59</v>
      </c>
      <c r="E220" s="12">
        <v>80</v>
      </c>
      <c r="F220" s="16">
        <v>1</v>
      </c>
      <c r="G220" s="14">
        <f t="shared" si="37"/>
        <v>80</v>
      </c>
      <c r="H220" s="14" t="s">
        <v>3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</row>
    <row r="221" spans="1:68" s="9" customFormat="1" ht="16.5" customHeight="1" x14ac:dyDescent="0.3">
      <c r="A221" s="45">
        <v>17</v>
      </c>
      <c r="B221" s="11" t="s">
        <v>83</v>
      </c>
      <c r="C221" s="16" t="s">
        <v>7</v>
      </c>
      <c r="D221" s="16" t="s">
        <v>59</v>
      </c>
      <c r="E221" s="12">
        <v>20</v>
      </c>
      <c r="F221" s="16">
        <v>1</v>
      </c>
      <c r="G221" s="14">
        <f t="shared" si="37"/>
        <v>20</v>
      </c>
      <c r="H221" s="14" t="s">
        <v>18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</row>
    <row r="222" spans="1:68" s="9" customFormat="1" ht="16.5" customHeight="1" x14ac:dyDescent="0.3">
      <c r="A222" s="45">
        <v>18</v>
      </c>
      <c r="B222" s="11" t="s">
        <v>84</v>
      </c>
      <c r="C222" s="16" t="s">
        <v>7</v>
      </c>
      <c r="D222" s="16" t="s">
        <v>59</v>
      </c>
      <c r="E222" s="12">
        <v>32</v>
      </c>
      <c r="F222" s="16">
        <v>1</v>
      </c>
      <c r="G222" s="14">
        <f t="shared" si="37"/>
        <v>32</v>
      </c>
      <c r="H222" s="14" t="s">
        <v>3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</row>
    <row r="223" spans="1:68" s="9" customFormat="1" ht="16.5" customHeight="1" x14ac:dyDescent="0.3">
      <c r="A223" s="45">
        <v>19</v>
      </c>
      <c r="B223" s="11" t="s">
        <v>85</v>
      </c>
      <c r="C223" s="16" t="s">
        <v>7</v>
      </c>
      <c r="D223" s="16" t="s">
        <v>59</v>
      </c>
      <c r="E223" s="12">
        <v>20</v>
      </c>
      <c r="F223" s="16">
        <v>1</v>
      </c>
      <c r="G223" s="14">
        <f t="shared" si="37"/>
        <v>20</v>
      </c>
      <c r="H223" s="14" t="s">
        <v>3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</row>
    <row r="224" spans="1:68" s="9" customFormat="1" ht="16.5" customHeight="1" x14ac:dyDescent="0.3">
      <c r="A224" s="45">
        <v>20</v>
      </c>
      <c r="B224" s="11" t="s">
        <v>200</v>
      </c>
      <c r="C224" s="16" t="s">
        <v>17</v>
      </c>
      <c r="D224" s="16" t="s">
        <v>59</v>
      </c>
      <c r="E224" s="12">
        <v>2</v>
      </c>
      <c r="F224" s="16">
        <v>1</v>
      </c>
      <c r="G224" s="14">
        <f t="shared" ref="G224:G225" si="39">E224*F224</f>
        <v>2</v>
      </c>
      <c r="H224" s="14" t="s">
        <v>3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</row>
    <row r="225" spans="1:68" s="9" customFormat="1" ht="16.5" customHeight="1" x14ac:dyDescent="0.3">
      <c r="A225" s="45">
        <v>21</v>
      </c>
      <c r="B225" s="11" t="s">
        <v>22</v>
      </c>
      <c r="C225" s="16" t="s">
        <v>17</v>
      </c>
      <c r="D225" s="16" t="s">
        <v>59</v>
      </c>
      <c r="E225" s="12">
        <v>80</v>
      </c>
      <c r="F225" s="16">
        <v>1</v>
      </c>
      <c r="G225" s="14">
        <f t="shared" si="39"/>
        <v>80</v>
      </c>
      <c r="H225" s="14" t="s">
        <v>3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</row>
    <row r="226" spans="1:68" s="52" customFormat="1" ht="15.6" x14ac:dyDescent="0.3">
      <c r="A226" s="26" t="s">
        <v>201</v>
      </c>
      <c r="B226" s="27" t="s">
        <v>89</v>
      </c>
      <c r="C226" s="57"/>
      <c r="D226" s="58"/>
      <c r="E226" s="28">
        <v>1</v>
      </c>
      <c r="F226" s="28">
        <v>1</v>
      </c>
      <c r="G226" s="29">
        <f t="shared" ref="G226:G227" si="40">E226*F226</f>
        <v>1</v>
      </c>
      <c r="H226" s="29" t="s">
        <v>3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68" s="10" customFormat="1" x14ac:dyDescent="0.3">
      <c r="A227" s="45">
        <v>1</v>
      </c>
      <c r="B227" s="15" t="s">
        <v>60</v>
      </c>
      <c r="C227" s="12" t="s">
        <v>87</v>
      </c>
      <c r="D227" s="12" t="s">
        <v>175</v>
      </c>
      <c r="E227" s="16">
        <v>2</v>
      </c>
      <c r="F227" s="16">
        <f>F225</f>
        <v>1</v>
      </c>
      <c r="G227" s="14">
        <f t="shared" si="40"/>
        <v>2</v>
      </c>
      <c r="H227" s="14" t="s">
        <v>3</v>
      </c>
      <c r="BI227" s="9"/>
      <c r="BJ227" s="9"/>
      <c r="BK227" s="9"/>
      <c r="BL227" s="9"/>
      <c r="BM227" s="9"/>
      <c r="BN227" s="9"/>
    </row>
    <row r="228" spans="1:68" s="10" customFormat="1" x14ac:dyDescent="0.3">
      <c r="A228" s="13">
        <v>2</v>
      </c>
      <c r="B228" s="15" t="s">
        <v>92</v>
      </c>
      <c r="C228" s="16" t="s">
        <v>5</v>
      </c>
      <c r="D228" s="16" t="s">
        <v>27</v>
      </c>
      <c r="E228" s="16">
        <v>1</v>
      </c>
      <c r="F228" s="16">
        <f t="shared" ref="F228:F230" si="41">F226</f>
        <v>1</v>
      </c>
      <c r="G228" s="14">
        <f t="shared" ref="G228:G231" si="42">E228*F228</f>
        <v>1</v>
      </c>
      <c r="H228" s="14" t="s">
        <v>3</v>
      </c>
    </row>
    <row r="229" spans="1:68" s="9" customFormat="1" ht="16.5" customHeight="1" x14ac:dyDescent="0.3">
      <c r="A229" s="45">
        <v>3</v>
      </c>
      <c r="B229" s="15" t="s">
        <v>91</v>
      </c>
      <c r="C229" s="16" t="s">
        <v>5</v>
      </c>
      <c r="D229" s="16" t="s">
        <v>28</v>
      </c>
      <c r="E229" s="12">
        <v>1</v>
      </c>
      <c r="F229" s="16">
        <f t="shared" si="41"/>
        <v>1</v>
      </c>
      <c r="G229" s="14">
        <f t="shared" si="42"/>
        <v>1</v>
      </c>
      <c r="H229" s="14" t="s">
        <v>3</v>
      </c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8" s="35" customFormat="1" x14ac:dyDescent="0.3">
      <c r="A230" s="13">
        <v>4</v>
      </c>
      <c r="B230" s="15" t="s">
        <v>71</v>
      </c>
      <c r="C230" s="16" t="s">
        <v>50</v>
      </c>
      <c r="D230" s="16" t="s">
        <v>59</v>
      </c>
      <c r="E230" s="16">
        <v>1</v>
      </c>
      <c r="F230" s="16">
        <f t="shared" si="41"/>
        <v>1</v>
      </c>
      <c r="G230" s="41">
        <f t="shared" si="42"/>
        <v>1</v>
      </c>
      <c r="H230" s="14" t="s">
        <v>3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</row>
    <row r="231" spans="1:68" s="8" customFormat="1" x14ac:dyDescent="0.3">
      <c r="A231" s="45">
        <v>5</v>
      </c>
      <c r="B231" s="11" t="s">
        <v>197</v>
      </c>
      <c r="C231" s="12" t="s">
        <v>5</v>
      </c>
      <c r="D231" s="16" t="s">
        <v>59</v>
      </c>
      <c r="E231" s="12">
        <v>1</v>
      </c>
      <c r="F231" s="12">
        <f>F222</f>
        <v>1</v>
      </c>
      <c r="G231" s="6">
        <f t="shared" si="42"/>
        <v>1</v>
      </c>
      <c r="H231" s="14" t="s">
        <v>3</v>
      </c>
      <c r="I231" s="10"/>
      <c r="J231" s="1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</row>
    <row r="232" spans="1:68" x14ac:dyDescent="0.3">
      <c r="F232" s="5" t="s">
        <v>42</v>
      </c>
    </row>
    <row r="233" spans="1:68" x14ac:dyDescent="0.3"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68" s="8" customFormat="1" x14ac:dyDescent="0.3">
      <c r="A234"/>
      <c r="B234"/>
      <c r="C234"/>
      <c r="D234"/>
      <c r="E234"/>
      <c r="F234"/>
      <c r="G234"/>
      <c r="H234" s="20"/>
      <c r="I234"/>
      <c r="J234"/>
    </row>
    <row r="235" spans="1:68" s="8" customFormat="1" x14ac:dyDescent="0.3">
      <c r="A235"/>
      <c r="B235"/>
      <c r="C235"/>
      <c r="D235"/>
      <c r="E235"/>
      <c r="F235"/>
      <c r="G235"/>
      <c r="H235" s="20"/>
      <c r="I235"/>
      <c r="J235"/>
    </row>
    <row r="236" spans="1:68" s="8" customFormat="1" x14ac:dyDescent="0.3">
      <c r="A236"/>
      <c r="B236"/>
      <c r="C236"/>
      <c r="D236"/>
      <c r="E236"/>
      <c r="F236"/>
      <c r="G236"/>
      <c r="H236" s="20"/>
      <c r="I236"/>
      <c r="J236"/>
    </row>
    <row r="237" spans="1:68" s="8" customFormat="1" x14ac:dyDescent="0.3">
      <c r="A237"/>
      <c r="B237"/>
      <c r="C237"/>
      <c r="D237"/>
      <c r="E237"/>
      <c r="F237"/>
      <c r="G237"/>
      <c r="H237" s="20"/>
      <c r="I237"/>
      <c r="J237"/>
    </row>
    <row r="238" spans="1:68" s="8" customFormat="1" x14ac:dyDescent="0.3">
      <c r="A238"/>
      <c r="B238"/>
      <c r="C238"/>
      <c r="D238"/>
      <c r="E238"/>
      <c r="F238"/>
      <c r="G238"/>
      <c r="H238" s="20"/>
      <c r="I238"/>
      <c r="J238"/>
    </row>
    <row r="239" spans="1:68" s="8" customFormat="1" x14ac:dyDescent="0.3">
      <c r="A239"/>
      <c r="B239"/>
      <c r="C239"/>
      <c r="D239"/>
      <c r="E239"/>
      <c r="F239"/>
      <c r="G239"/>
      <c r="H239" s="20"/>
      <c r="I239"/>
      <c r="J239"/>
    </row>
    <row r="240" spans="1:68" s="8" customFormat="1" x14ac:dyDescent="0.3">
      <c r="A240"/>
      <c r="B240"/>
      <c r="C240"/>
      <c r="D240"/>
      <c r="E240"/>
      <c r="F240"/>
      <c r="G240"/>
      <c r="H240" s="20"/>
      <c r="I240"/>
      <c r="J240"/>
    </row>
    <row r="241" spans="1:10" s="8" customFormat="1" x14ac:dyDescent="0.3">
      <c r="A241"/>
      <c r="B241"/>
      <c r="C241"/>
      <c r="D241"/>
      <c r="E241"/>
      <c r="F241"/>
      <c r="G241"/>
      <c r="H241" s="20"/>
      <c r="I241"/>
      <c r="J241"/>
    </row>
    <row r="242" spans="1:10" s="8" customFormat="1" x14ac:dyDescent="0.3">
      <c r="A242"/>
      <c r="B242"/>
      <c r="C242"/>
      <c r="D242"/>
      <c r="E242"/>
      <c r="F242"/>
      <c r="G242"/>
      <c r="H242" s="20"/>
      <c r="I242"/>
      <c r="J242"/>
    </row>
    <row r="243" spans="1:10" s="8" customFormat="1" x14ac:dyDescent="0.3">
      <c r="A243"/>
      <c r="B243"/>
      <c r="C243"/>
      <c r="D243"/>
      <c r="E243"/>
      <c r="F243"/>
      <c r="G243"/>
      <c r="H243" s="20"/>
      <c r="I243"/>
      <c r="J243"/>
    </row>
    <row r="244" spans="1:10" s="8" customFormat="1" x14ac:dyDescent="0.3">
      <c r="A244"/>
      <c r="B244"/>
      <c r="C244"/>
      <c r="D244"/>
      <c r="E244"/>
      <c r="F244"/>
      <c r="G244"/>
      <c r="H244" s="20"/>
      <c r="I244"/>
      <c r="J244"/>
    </row>
    <row r="245" spans="1:10" s="8" customFormat="1" x14ac:dyDescent="0.3">
      <c r="A245"/>
      <c r="B245"/>
      <c r="C245"/>
      <c r="D245"/>
      <c r="E245"/>
      <c r="F245"/>
      <c r="G245"/>
      <c r="H245" s="20"/>
      <c r="I245"/>
      <c r="J245"/>
    </row>
    <row r="246" spans="1:10" s="8" customFormat="1" x14ac:dyDescent="0.3">
      <c r="A246"/>
      <c r="B246"/>
      <c r="C246"/>
      <c r="D246"/>
      <c r="E246"/>
      <c r="F246"/>
      <c r="G246"/>
      <c r="H246" s="20"/>
      <c r="I246"/>
      <c r="J246"/>
    </row>
    <row r="247" spans="1:10" s="8" customFormat="1" x14ac:dyDescent="0.3">
      <c r="A247"/>
      <c r="B247"/>
      <c r="C247"/>
      <c r="D247"/>
      <c r="E247"/>
      <c r="F247"/>
      <c r="G247"/>
      <c r="H247" s="20"/>
      <c r="I247"/>
      <c r="J247"/>
    </row>
    <row r="248" spans="1:10" s="8" customFormat="1" x14ac:dyDescent="0.3">
      <c r="A248"/>
      <c r="B248"/>
      <c r="C248"/>
      <c r="D248"/>
      <c r="E248"/>
      <c r="F248"/>
      <c r="G248"/>
      <c r="H248" s="20"/>
      <c r="I248"/>
      <c r="J248"/>
    </row>
    <row r="249" spans="1:10" s="8" customFormat="1" x14ac:dyDescent="0.3">
      <c r="A249"/>
      <c r="B249"/>
      <c r="C249"/>
      <c r="D249"/>
      <c r="E249"/>
      <c r="F249"/>
      <c r="G249"/>
      <c r="H249" s="20"/>
      <c r="I249"/>
      <c r="J249"/>
    </row>
    <row r="250" spans="1:10" s="8" customFormat="1" x14ac:dyDescent="0.3">
      <c r="A250"/>
      <c r="B250"/>
      <c r="C250"/>
      <c r="D250"/>
      <c r="E250"/>
      <c r="F250"/>
      <c r="G250"/>
      <c r="H250" s="20"/>
      <c r="I250"/>
      <c r="J250"/>
    </row>
    <row r="251" spans="1:10" s="8" customFormat="1" x14ac:dyDescent="0.3">
      <c r="A251"/>
      <c r="B251"/>
      <c r="C251"/>
      <c r="D251"/>
      <c r="E251"/>
      <c r="F251"/>
      <c r="G251"/>
      <c r="H251" s="20"/>
      <c r="I251"/>
      <c r="J251"/>
    </row>
    <row r="252" spans="1:10" s="8" customFormat="1" x14ac:dyDescent="0.3">
      <c r="A252"/>
      <c r="B252"/>
      <c r="C252"/>
      <c r="D252"/>
      <c r="E252"/>
      <c r="F252"/>
      <c r="G252"/>
      <c r="H252" s="20"/>
      <c r="I252"/>
      <c r="J252"/>
    </row>
    <row r="253" spans="1:10" s="8" customFormat="1" x14ac:dyDescent="0.3">
      <c r="A253"/>
      <c r="B253"/>
      <c r="C253"/>
      <c r="D253"/>
      <c r="E253"/>
      <c r="F253"/>
      <c r="G253"/>
      <c r="H253" s="20"/>
      <c r="I253"/>
      <c r="J253"/>
    </row>
    <row r="254" spans="1:10" s="8" customFormat="1" x14ac:dyDescent="0.3">
      <c r="A254"/>
      <c r="B254"/>
      <c r="C254"/>
      <c r="D254"/>
      <c r="E254"/>
      <c r="F254"/>
      <c r="G254"/>
      <c r="H254" s="20"/>
      <c r="I254"/>
      <c r="J254"/>
    </row>
    <row r="255" spans="1:10" s="8" customFormat="1" x14ac:dyDescent="0.3">
      <c r="A255"/>
      <c r="B255"/>
      <c r="C255"/>
      <c r="D255"/>
      <c r="E255"/>
      <c r="F255"/>
      <c r="G255"/>
      <c r="H255" s="20"/>
      <c r="I255"/>
      <c r="J255"/>
    </row>
    <row r="256" spans="1:10" s="8" customFormat="1" x14ac:dyDescent="0.3">
      <c r="A256"/>
      <c r="B256"/>
      <c r="C256"/>
      <c r="D256"/>
      <c r="E256"/>
      <c r="F256"/>
      <c r="G256"/>
      <c r="H256" s="20"/>
      <c r="I256"/>
      <c r="J256"/>
    </row>
    <row r="257" spans="1:10" s="8" customFormat="1" x14ac:dyDescent="0.3">
      <c r="A257"/>
      <c r="B257"/>
      <c r="C257"/>
      <c r="D257"/>
      <c r="E257"/>
      <c r="F257"/>
      <c r="G257"/>
      <c r="H257" s="20"/>
      <c r="I257"/>
      <c r="J257"/>
    </row>
    <row r="258" spans="1:10" s="8" customFormat="1" x14ac:dyDescent="0.3">
      <c r="A258"/>
      <c r="B258"/>
      <c r="C258"/>
      <c r="D258"/>
      <c r="E258"/>
      <c r="F258"/>
      <c r="G258"/>
      <c r="H258" s="20"/>
      <c r="I258"/>
      <c r="J258"/>
    </row>
    <row r="259" spans="1:10" s="8" customFormat="1" x14ac:dyDescent="0.3">
      <c r="A259"/>
      <c r="B259"/>
      <c r="C259"/>
      <c r="D259"/>
      <c r="E259"/>
      <c r="F259"/>
      <c r="G259"/>
      <c r="H259" s="20"/>
      <c r="I259"/>
      <c r="J259"/>
    </row>
    <row r="260" spans="1:10" s="8" customFormat="1" x14ac:dyDescent="0.3">
      <c r="A260"/>
      <c r="B260"/>
      <c r="C260"/>
      <c r="D260"/>
      <c r="E260"/>
      <c r="F260"/>
      <c r="G260"/>
      <c r="H260" s="20"/>
      <c r="I260"/>
      <c r="J260"/>
    </row>
    <row r="261" spans="1:10" s="8" customFormat="1" x14ac:dyDescent="0.3">
      <c r="A261"/>
      <c r="B261"/>
      <c r="C261"/>
      <c r="D261"/>
      <c r="E261"/>
      <c r="F261"/>
      <c r="G261"/>
      <c r="H261" s="20"/>
      <c r="I261"/>
      <c r="J261"/>
    </row>
    <row r="262" spans="1:10" s="8" customFormat="1" x14ac:dyDescent="0.3">
      <c r="A262"/>
      <c r="B262"/>
      <c r="C262"/>
      <c r="D262"/>
      <c r="E262"/>
      <c r="F262"/>
      <c r="G262"/>
      <c r="H262" s="20"/>
      <c r="I262"/>
      <c r="J262"/>
    </row>
    <row r="263" spans="1:10" s="8" customFormat="1" x14ac:dyDescent="0.3">
      <c r="A263"/>
      <c r="B263"/>
      <c r="C263"/>
      <c r="D263"/>
      <c r="E263"/>
      <c r="F263"/>
      <c r="G263"/>
      <c r="H263" s="20"/>
      <c r="I263"/>
      <c r="J263"/>
    </row>
    <row r="264" spans="1:10" s="8" customFormat="1" x14ac:dyDescent="0.3">
      <c r="A264"/>
      <c r="B264"/>
      <c r="C264"/>
      <c r="D264"/>
      <c r="E264"/>
      <c r="F264"/>
      <c r="G264"/>
      <c r="H264" s="20"/>
      <c r="I264"/>
      <c r="J264"/>
    </row>
    <row r="265" spans="1:10" s="8" customFormat="1" x14ac:dyDescent="0.3">
      <c r="A265"/>
      <c r="B265"/>
      <c r="C265"/>
      <c r="D265"/>
      <c r="E265"/>
      <c r="F265"/>
      <c r="G265"/>
      <c r="H265" s="20"/>
      <c r="I265"/>
      <c r="J265"/>
    </row>
    <row r="266" spans="1:10" s="8" customFormat="1" x14ac:dyDescent="0.3">
      <c r="A266"/>
      <c r="B266"/>
      <c r="C266"/>
      <c r="D266"/>
      <c r="E266"/>
      <c r="F266"/>
      <c r="G266"/>
      <c r="H266" s="20"/>
      <c r="I266"/>
      <c r="J266"/>
    </row>
    <row r="267" spans="1:10" s="8" customFormat="1" x14ac:dyDescent="0.3">
      <c r="A267"/>
      <c r="B267"/>
      <c r="C267"/>
      <c r="D267"/>
      <c r="E267"/>
      <c r="F267"/>
      <c r="G267"/>
      <c r="H267" s="20"/>
      <c r="I267"/>
      <c r="J267"/>
    </row>
    <row r="268" spans="1:10" s="8" customFormat="1" x14ac:dyDescent="0.3">
      <c r="A268"/>
      <c r="B268"/>
      <c r="C268"/>
      <c r="D268"/>
      <c r="E268"/>
      <c r="F268"/>
      <c r="G268"/>
      <c r="H268" s="20"/>
      <c r="I268"/>
      <c r="J268"/>
    </row>
    <row r="269" spans="1:10" s="8" customFormat="1" x14ac:dyDescent="0.3">
      <c r="A269"/>
      <c r="B269"/>
      <c r="C269"/>
      <c r="D269"/>
      <c r="E269"/>
      <c r="F269"/>
      <c r="G269"/>
      <c r="H269" s="20"/>
      <c r="I269"/>
      <c r="J269"/>
    </row>
    <row r="270" spans="1:10" s="8" customFormat="1" x14ac:dyDescent="0.3">
      <c r="A270"/>
      <c r="B270"/>
      <c r="C270"/>
      <c r="D270"/>
      <c r="E270"/>
      <c r="F270"/>
      <c r="G270"/>
      <c r="H270" s="20"/>
      <c r="I270"/>
      <c r="J270"/>
    </row>
    <row r="271" spans="1:10" s="8" customFormat="1" x14ac:dyDescent="0.3">
      <c r="A271"/>
      <c r="B271"/>
      <c r="C271"/>
      <c r="D271"/>
      <c r="E271"/>
      <c r="F271"/>
      <c r="G271"/>
      <c r="H271" s="20"/>
      <c r="I271"/>
      <c r="J271"/>
    </row>
    <row r="272" spans="1:10" s="8" customFormat="1" x14ac:dyDescent="0.3">
      <c r="A272"/>
      <c r="B272"/>
      <c r="C272"/>
      <c r="D272"/>
      <c r="E272"/>
      <c r="F272"/>
      <c r="G272"/>
      <c r="H272" s="20"/>
      <c r="I272"/>
      <c r="J272"/>
    </row>
    <row r="273" spans="1:24" s="8" customFormat="1" x14ac:dyDescent="0.3">
      <c r="A273"/>
      <c r="B273"/>
      <c r="C273"/>
      <c r="D273"/>
      <c r="E273"/>
      <c r="F273"/>
      <c r="G273"/>
      <c r="H273" s="20"/>
      <c r="I273"/>
      <c r="J273"/>
    </row>
    <row r="274" spans="1:24" s="8" customFormat="1" x14ac:dyDescent="0.3">
      <c r="A274"/>
      <c r="B274"/>
      <c r="C274"/>
      <c r="D274"/>
      <c r="E274"/>
      <c r="F274"/>
      <c r="G274"/>
      <c r="H274" s="20"/>
      <c r="I274"/>
      <c r="J274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s="7" customFormat="1" x14ac:dyDescent="0.3">
      <c r="A275"/>
      <c r="B275"/>
      <c r="C275"/>
      <c r="D275"/>
      <c r="E275"/>
      <c r="F275"/>
      <c r="G275"/>
      <c r="H275" s="20"/>
      <c r="I275"/>
      <c r="J275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s="8" customFormat="1" x14ac:dyDescent="0.3">
      <c r="A276"/>
      <c r="B276"/>
      <c r="C276"/>
      <c r="D276"/>
      <c r="E276"/>
      <c r="F276"/>
      <c r="G276"/>
      <c r="H276" s="20"/>
      <c r="I276"/>
      <c r="J276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s="10" customFormat="1" x14ac:dyDescent="0.3">
      <c r="A277"/>
      <c r="B277"/>
      <c r="C277"/>
      <c r="D277"/>
      <c r="E277"/>
      <c r="F277"/>
      <c r="G277"/>
      <c r="H277" s="20"/>
      <c r="I277"/>
      <c r="J277"/>
    </row>
    <row r="278" spans="1:24" s="10" customFormat="1" x14ac:dyDescent="0.3">
      <c r="A278"/>
      <c r="B278"/>
      <c r="C278"/>
      <c r="D278"/>
      <c r="E278"/>
      <c r="F278"/>
      <c r="G278"/>
      <c r="H278" s="20"/>
      <c r="I278"/>
      <c r="J278"/>
    </row>
    <row r="279" spans="1:24" s="10" customFormat="1" x14ac:dyDescent="0.3">
      <c r="A279"/>
      <c r="B279"/>
      <c r="C279"/>
      <c r="D279"/>
      <c r="E279"/>
      <c r="F279"/>
      <c r="G279"/>
      <c r="H279" s="20"/>
      <c r="I279"/>
      <c r="J279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s="8" customFormat="1" x14ac:dyDescent="0.3">
      <c r="A280"/>
      <c r="B280"/>
      <c r="C280"/>
      <c r="D280"/>
      <c r="E280"/>
      <c r="F280"/>
      <c r="G280"/>
      <c r="H280" s="20"/>
      <c r="I280"/>
      <c r="J280"/>
    </row>
    <row r="281" spans="1:24" s="8" customFormat="1" x14ac:dyDescent="0.3">
      <c r="A281"/>
      <c r="B281"/>
      <c r="C281"/>
      <c r="D281"/>
      <c r="E281"/>
      <c r="F281"/>
      <c r="G281"/>
      <c r="H281" s="20"/>
      <c r="I281"/>
      <c r="J281"/>
    </row>
    <row r="282" spans="1:24" s="8" customFormat="1" x14ac:dyDescent="0.3">
      <c r="A282"/>
      <c r="B282"/>
      <c r="C282"/>
      <c r="D282"/>
      <c r="E282"/>
      <c r="F282"/>
      <c r="G282"/>
      <c r="H282" s="20"/>
      <c r="I282"/>
      <c r="J282"/>
    </row>
    <row r="283" spans="1:24" s="8" customFormat="1" x14ac:dyDescent="0.3">
      <c r="A283"/>
      <c r="B283"/>
      <c r="C283"/>
      <c r="D283"/>
      <c r="E283"/>
      <c r="F283"/>
      <c r="G283"/>
      <c r="H283" s="20"/>
      <c r="I283"/>
      <c r="J283"/>
    </row>
    <row r="284" spans="1:24" s="8" customFormat="1" x14ac:dyDescent="0.3">
      <c r="A284"/>
      <c r="B284"/>
      <c r="C284"/>
      <c r="D284"/>
      <c r="E284"/>
      <c r="F284"/>
      <c r="G284"/>
      <c r="H284" s="20"/>
      <c r="I284"/>
      <c r="J284"/>
    </row>
    <row r="285" spans="1:24" s="8" customFormat="1" x14ac:dyDescent="0.3">
      <c r="A285"/>
      <c r="B285"/>
      <c r="C285"/>
      <c r="D285"/>
      <c r="E285"/>
      <c r="F285"/>
      <c r="G285"/>
      <c r="H285" s="20"/>
      <c r="I285"/>
      <c r="J285"/>
    </row>
    <row r="286" spans="1:24" s="8" customFormat="1" x14ac:dyDescent="0.3">
      <c r="A286"/>
      <c r="B286"/>
      <c r="C286"/>
      <c r="D286"/>
      <c r="E286"/>
      <c r="F286"/>
      <c r="G286"/>
      <c r="H286" s="20"/>
      <c r="I286"/>
      <c r="J286"/>
    </row>
    <row r="287" spans="1:24" s="8" customFormat="1" x14ac:dyDescent="0.3">
      <c r="A287"/>
      <c r="B287"/>
      <c r="C287"/>
      <c r="D287"/>
      <c r="E287"/>
      <c r="F287"/>
      <c r="G287"/>
      <c r="H287" s="20"/>
      <c r="I287"/>
      <c r="J287"/>
    </row>
    <row r="288" spans="1:24" s="8" customFormat="1" x14ac:dyDescent="0.3">
      <c r="A288"/>
      <c r="B288"/>
      <c r="C288"/>
      <c r="D288"/>
      <c r="E288"/>
      <c r="F288"/>
      <c r="G288"/>
      <c r="H288" s="20"/>
      <c r="I288"/>
      <c r="J288"/>
    </row>
    <row r="289" spans="1:10" s="8" customFormat="1" x14ac:dyDescent="0.3">
      <c r="A289"/>
      <c r="B289"/>
      <c r="C289"/>
      <c r="D289"/>
      <c r="E289"/>
      <c r="F289"/>
      <c r="G289"/>
      <c r="H289" s="20"/>
      <c r="I289"/>
      <c r="J289"/>
    </row>
    <row r="290" spans="1:10" s="8" customFormat="1" x14ac:dyDescent="0.3">
      <c r="A290"/>
      <c r="B290"/>
      <c r="C290"/>
      <c r="D290"/>
      <c r="E290"/>
      <c r="F290"/>
      <c r="G290"/>
      <c r="H290" s="20"/>
      <c r="I290"/>
      <c r="J290"/>
    </row>
    <row r="291" spans="1:10" s="8" customFormat="1" x14ac:dyDescent="0.3">
      <c r="A291"/>
      <c r="B291"/>
      <c r="C291"/>
      <c r="D291"/>
      <c r="E291"/>
      <c r="F291"/>
      <c r="G291"/>
      <c r="H291" s="20"/>
      <c r="I291"/>
      <c r="J291"/>
    </row>
    <row r="292" spans="1:10" s="8" customFormat="1" x14ac:dyDescent="0.3">
      <c r="A292"/>
      <c r="B292"/>
      <c r="C292"/>
      <c r="D292"/>
      <c r="E292"/>
      <c r="F292"/>
      <c r="G292"/>
      <c r="H292" s="20"/>
      <c r="I292"/>
      <c r="J292"/>
    </row>
    <row r="293" spans="1:10" s="8" customFormat="1" x14ac:dyDescent="0.3">
      <c r="A293"/>
      <c r="B293"/>
      <c r="C293"/>
      <c r="D293"/>
      <c r="E293"/>
      <c r="F293"/>
      <c r="G293"/>
      <c r="H293" s="20"/>
      <c r="I293"/>
      <c r="J293"/>
    </row>
    <row r="294" spans="1:10" s="8" customFormat="1" x14ac:dyDescent="0.3">
      <c r="A294"/>
      <c r="B294"/>
      <c r="C294"/>
      <c r="D294"/>
      <c r="E294"/>
      <c r="F294"/>
      <c r="G294"/>
      <c r="H294" s="20"/>
      <c r="I294"/>
      <c r="J294"/>
    </row>
    <row r="295" spans="1:10" s="8" customFormat="1" x14ac:dyDescent="0.3">
      <c r="A295"/>
      <c r="B295"/>
      <c r="C295"/>
      <c r="D295"/>
      <c r="E295"/>
      <c r="F295"/>
      <c r="G295"/>
      <c r="H295" s="20"/>
      <c r="I295"/>
      <c r="J295"/>
    </row>
    <row r="296" spans="1:10" s="8" customFormat="1" x14ac:dyDescent="0.3">
      <c r="A296"/>
      <c r="B296"/>
      <c r="C296"/>
      <c r="D296"/>
      <c r="E296"/>
      <c r="F296"/>
      <c r="G296"/>
      <c r="H296" s="20"/>
      <c r="I296"/>
      <c r="J296"/>
    </row>
    <row r="297" spans="1:10" s="8" customFormat="1" x14ac:dyDescent="0.3">
      <c r="A297"/>
      <c r="B297"/>
      <c r="C297"/>
      <c r="D297"/>
      <c r="E297"/>
      <c r="F297"/>
      <c r="G297"/>
      <c r="H297" s="20"/>
      <c r="I297"/>
      <c r="J297"/>
    </row>
    <row r="298" spans="1:10" s="8" customFormat="1" x14ac:dyDescent="0.3">
      <c r="A298"/>
      <c r="B298"/>
      <c r="C298"/>
      <c r="D298"/>
      <c r="E298"/>
      <c r="F298"/>
      <c r="G298"/>
      <c r="H298" s="20"/>
      <c r="I298"/>
      <c r="J298"/>
    </row>
    <row r="299" spans="1:10" s="8" customFormat="1" x14ac:dyDescent="0.3">
      <c r="A299"/>
      <c r="B299"/>
      <c r="C299"/>
      <c r="D299"/>
      <c r="E299"/>
      <c r="F299"/>
      <c r="G299"/>
      <c r="H299" s="20"/>
      <c r="I299"/>
      <c r="J299"/>
    </row>
    <row r="300" spans="1:10" s="8" customFormat="1" x14ac:dyDescent="0.3">
      <c r="A300"/>
      <c r="B300"/>
      <c r="C300"/>
      <c r="D300"/>
      <c r="E300"/>
      <c r="F300"/>
      <c r="G300"/>
      <c r="H300" s="20"/>
      <c r="I300"/>
      <c r="J300"/>
    </row>
    <row r="301" spans="1:10" s="8" customFormat="1" x14ac:dyDescent="0.3">
      <c r="A301"/>
      <c r="B301"/>
      <c r="C301"/>
      <c r="D301"/>
      <c r="E301"/>
      <c r="F301"/>
      <c r="G301"/>
      <c r="H301" s="20"/>
      <c r="I301"/>
      <c r="J301"/>
    </row>
    <row r="302" spans="1:10" s="8" customFormat="1" x14ac:dyDescent="0.3">
      <c r="A302"/>
      <c r="B302"/>
      <c r="C302"/>
      <c r="D302"/>
      <c r="E302"/>
      <c r="F302"/>
      <c r="G302"/>
      <c r="H302" s="20"/>
      <c r="I302"/>
      <c r="J302"/>
    </row>
    <row r="303" spans="1:10" s="8" customFormat="1" x14ac:dyDescent="0.3">
      <c r="A303"/>
      <c r="B303"/>
      <c r="C303"/>
      <c r="D303"/>
      <c r="E303"/>
      <c r="F303"/>
      <c r="G303"/>
      <c r="H303" s="20"/>
      <c r="I303"/>
      <c r="J303"/>
    </row>
    <row r="304" spans="1:10" s="8" customFormat="1" x14ac:dyDescent="0.3">
      <c r="A304"/>
      <c r="B304"/>
      <c r="C304"/>
      <c r="D304"/>
      <c r="E304"/>
      <c r="F304"/>
      <c r="G304"/>
      <c r="H304" s="20"/>
      <c r="I304"/>
      <c r="J304"/>
    </row>
    <row r="305" spans="1:10" s="8" customFormat="1" x14ac:dyDescent="0.3">
      <c r="A305"/>
      <c r="B305"/>
      <c r="C305"/>
      <c r="D305"/>
      <c r="E305"/>
      <c r="F305"/>
      <c r="G305"/>
      <c r="H305" s="20"/>
      <c r="I305"/>
      <c r="J305"/>
    </row>
    <row r="306" spans="1:10" s="8" customFormat="1" x14ac:dyDescent="0.3">
      <c r="A306"/>
      <c r="B306"/>
      <c r="C306"/>
      <c r="D306"/>
      <c r="E306"/>
      <c r="F306"/>
      <c r="G306"/>
      <c r="H306" s="20"/>
      <c r="I306"/>
      <c r="J306"/>
    </row>
    <row r="307" spans="1:10" s="8" customFormat="1" x14ac:dyDescent="0.3">
      <c r="A307"/>
      <c r="B307"/>
      <c r="C307"/>
      <c r="D307"/>
      <c r="E307"/>
      <c r="F307"/>
      <c r="G307"/>
      <c r="H307" s="20"/>
      <c r="I307"/>
      <c r="J307"/>
    </row>
    <row r="308" spans="1:10" s="8" customFormat="1" x14ac:dyDescent="0.3">
      <c r="A308"/>
      <c r="B308"/>
      <c r="C308"/>
      <c r="D308"/>
      <c r="E308"/>
      <c r="F308"/>
      <c r="G308"/>
      <c r="H308" s="20"/>
      <c r="I308"/>
      <c r="J308"/>
    </row>
    <row r="309" spans="1:10" s="8" customFormat="1" x14ac:dyDescent="0.3">
      <c r="A309"/>
      <c r="B309"/>
      <c r="C309"/>
      <c r="D309"/>
      <c r="E309"/>
      <c r="F309"/>
      <c r="G309"/>
      <c r="H309" s="20"/>
      <c r="I309"/>
      <c r="J309"/>
    </row>
    <row r="310" spans="1:10" s="8" customFormat="1" x14ac:dyDescent="0.3">
      <c r="A310"/>
      <c r="B310"/>
      <c r="C310"/>
      <c r="D310"/>
      <c r="E310"/>
      <c r="F310"/>
      <c r="G310"/>
      <c r="H310" s="20"/>
      <c r="I310"/>
      <c r="J310"/>
    </row>
    <row r="311" spans="1:10" s="8" customFormat="1" x14ac:dyDescent="0.3">
      <c r="A311"/>
      <c r="B311"/>
      <c r="C311"/>
      <c r="D311"/>
      <c r="E311"/>
      <c r="F311"/>
      <c r="G311"/>
      <c r="H311" s="20"/>
      <c r="I311"/>
      <c r="J311"/>
    </row>
    <row r="312" spans="1:10" s="8" customFormat="1" x14ac:dyDescent="0.3">
      <c r="A312"/>
      <c r="B312"/>
      <c r="C312"/>
      <c r="D312"/>
      <c r="E312"/>
      <c r="F312"/>
      <c r="G312"/>
      <c r="H312" s="20"/>
      <c r="I312"/>
      <c r="J312"/>
    </row>
    <row r="313" spans="1:10" s="8" customFormat="1" x14ac:dyDescent="0.3">
      <c r="A313"/>
      <c r="B313"/>
      <c r="C313"/>
      <c r="D313"/>
      <c r="E313"/>
      <c r="F313"/>
      <c r="G313"/>
      <c r="H313" s="20"/>
      <c r="I313"/>
      <c r="J313"/>
    </row>
    <row r="314" spans="1:10" s="8" customFormat="1" x14ac:dyDescent="0.3">
      <c r="A314"/>
      <c r="B314"/>
      <c r="C314"/>
      <c r="D314"/>
      <c r="E314"/>
      <c r="F314"/>
      <c r="G314"/>
      <c r="H314" s="20"/>
      <c r="I314"/>
      <c r="J314"/>
    </row>
    <row r="315" spans="1:10" s="8" customFormat="1" x14ac:dyDescent="0.3">
      <c r="A315"/>
      <c r="B315"/>
      <c r="C315"/>
      <c r="D315"/>
      <c r="E315"/>
      <c r="F315"/>
      <c r="G315"/>
      <c r="H315" s="20"/>
      <c r="I315"/>
      <c r="J315"/>
    </row>
    <row r="316" spans="1:10" s="8" customFormat="1" x14ac:dyDescent="0.3">
      <c r="A316"/>
      <c r="B316"/>
      <c r="C316"/>
      <c r="D316"/>
      <c r="E316"/>
      <c r="F316"/>
      <c r="G316"/>
      <c r="H316" s="20"/>
      <c r="I316"/>
      <c r="J316"/>
    </row>
    <row r="317" spans="1:10" s="8" customFormat="1" x14ac:dyDescent="0.3">
      <c r="A317"/>
      <c r="B317"/>
      <c r="C317"/>
      <c r="D317"/>
      <c r="E317"/>
      <c r="F317"/>
      <c r="G317"/>
      <c r="H317" s="20"/>
      <c r="I317"/>
      <c r="J317"/>
    </row>
    <row r="318" spans="1:10" s="8" customFormat="1" x14ac:dyDescent="0.3">
      <c r="A318"/>
      <c r="B318"/>
      <c r="C318"/>
      <c r="D318"/>
      <c r="E318"/>
      <c r="F318"/>
      <c r="G318"/>
      <c r="H318" s="20"/>
      <c r="I318"/>
      <c r="J318"/>
    </row>
    <row r="319" spans="1:10" s="8" customFormat="1" x14ac:dyDescent="0.3">
      <c r="A319"/>
      <c r="B319"/>
      <c r="C319"/>
      <c r="D319"/>
      <c r="E319"/>
      <c r="F319"/>
      <c r="G319"/>
      <c r="H319" s="20"/>
      <c r="I319"/>
      <c r="J319"/>
    </row>
    <row r="320" spans="1:10" s="8" customFormat="1" x14ac:dyDescent="0.3">
      <c r="A320"/>
      <c r="B320"/>
      <c r="C320"/>
      <c r="D320"/>
      <c r="E320"/>
      <c r="F320"/>
      <c r="G320"/>
      <c r="H320" s="20"/>
      <c r="I320"/>
      <c r="J320"/>
    </row>
    <row r="321" spans="1:24" s="8" customFormat="1" x14ac:dyDescent="0.3">
      <c r="A321"/>
      <c r="B321"/>
      <c r="C321"/>
      <c r="D321"/>
      <c r="E321"/>
      <c r="F321"/>
      <c r="G321"/>
      <c r="H321" s="20"/>
      <c r="I321"/>
      <c r="J321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s="9" customFormat="1" x14ac:dyDescent="0.3">
      <c r="A322"/>
      <c r="B322"/>
      <c r="C322"/>
      <c r="D322"/>
      <c r="E322"/>
      <c r="F322"/>
      <c r="G322"/>
      <c r="H322" s="20"/>
      <c r="I322"/>
      <c r="J32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s="10" customFormat="1" x14ac:dyDescent="0.3">
      <c r="A323"/>
      <c r="B323"/>
      <c r="C323"/>
      <c r="D323"/>
      <c r="E323"/>
      <c r="F323"/>
      <c r="G323"/>
      <c r="H323" s="20"/>
      <c r="I323"/>
      <c r="J323"/>
    </row>
    <row r="324" spans="1:24" s="10" customFormat="1" x14ac:dyDescent="0.3">
      <c r="A324"/>
      <c r="B324"/>
      <c r="C324"/>
      <c r="D324"/>
      <c r="E324"/>
      <c r="F324"/>
      <c r="G324"/>
      <c r="H324" s="20"/>
      <c r="I324"/>
      <c r="J32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s="8" customFormat="1" x14ac:dyDescent="0.3">
      <c r="A325"/>
      <c r="B325"/>
      <c r="C325"/>
      <c r="D325"/>
      <c r="E325"/>
      <c r="F325"/>
      <c r="G325"/>
      <c r="H325" s="20"/>
      <c r="I325"/>
      <c r="J325"/>
    </row>
    <row r="326" spans="1:24" s="8" customFormat="1" x14ac:dyDescent="0.3">
      <c r="A326"/>
      <c r="B326"/>
      <c r="C326"/>
      <c r="D326"/>
      <c r="E326"/>
      <c r="F326"/>
      <c r="G326"/>
      <c r="H326" s="20"/>
      <c r="I326"/>
      <c r="J326"/>
    </row>
    <row r="327" spans="1:24" s="8" customFormat="1" x14ac:dyDescent="0.3">
      <c r="A327"/>
      <c r="B327"/>
      <c r="C327"/>
      <c r="D327"/>
      <c r="E327"/>
      <c r="F327"/>
      <c r="G327"/>
      <c r="H327" s="20"/>
      <c r="I327"/>
      <c r="J327"/>
    </row>
    <row r="328" spans="1:24" s="8" customFormat="1" x14ac:dyDescent="0.3">
      <c r="A328"/>
      <c r="B328"/>
      <c r="C328"/>
      <c r="D328"/>
      <c r="E328"/>
      <c r="F328"/>
      <c r="G328"/>
      <c r="H328" s="20"/>
      <c r="I328"/>
      <c r="J328"/>
    </row>
    <row r="329" spans="1:24" s="8" customFormat="1" x14ac:dyDescent="0.3">
      <c r="A329"/>
      <c r="B329"/>
      <c r="C329"/>
      <c r="D329"/>
      <c r="E329"/>
      <c r="F329"/>
      <c r="G329"/>
      <c r="H329" s="20"/>
      <c r="I329"/>
      <c r="J329"/>
    </row>
    <row r="330" spans="1:24" s="8" customFormat="1" x14ac:dyDescent="0.3">
      <c r="A330"/>
      <c r="B330"/>
      <c r="C330"/>
      <c r="D330"/>
      <c r="E330"/>
      <c r="F330"/>
      <c r="G330"/>
      <c r="H330" s="20"/>
      <c r="I330"/>
      <c r="J330"/>
    </row>
    <row r="331" spans="1:24" s="8" customFormat="1" x14ac:dyDescent="0.3">
      <c r="A331"/>
      <c r="B331"/>
      <c r="C331"/>
      <c r="D331"/>
      <c r="E331"/>
      <c r="F331"/>
      <c r="G331"/>
      <c r="H331" s="20"/>
      <c r="I331"/>
      <c r="J331"/>
    </row>
    <row r="332" spans="1:24" s="8" customFormat="1" x14ac:dyDescent="0.3">
      <c r="A332"/>
      <c r="B332"/>
      <c r="C332"/>
      <c r="D332"/>
      <c r="E332"/>
      <c r="F332"/>
      <c r="G332"/>
      <c r="H332" s="20"/>
      <c r="I332"/>
      <c r="J332"/>
    </row>
    <row r="333" spans="1:24" s="8" customFormat="1" x14ac:dyDescent="0.3">
      <c r="A333"/>
      <c r="B333"/>
      <c r="C333"/>
      <c r="D333"/>
      <c r="E333"/>
      <c r="F333"/>
      <c r="G333"/>
      <c r="H333" s="20"/>
      <c r="I333"/>
      <c r="J333"/>
    </row>
    <row r="334" spans="1:24" s="8" customFormat="1" x14ac:dyDescent="0.3">
      <c r="A334"/>
      <c r="B334"/>
      <c r="C334"/>
      <c r="D334"/>
      <c r="E334"/>
      <c r="F334"/>
      <c r="G334"/>
      <c r="H334" s="20"/>
      <c r="I334"/>
      <c r="J334"/>
    </row>
    <row r="335" spans="1:24" s="8" customFormat="1" x14ac:dyDescent="0.3">
      <c r="A335"/>
      <c r="B335"/>
      <c r="C335"/>
      <c r="D335"/>
      <c r="E335"/>
      <c r="F335"/>
      <c r="G335"/>
      <c r="H335" s="20"/>
      <c r="I335"/>
      <c r="J335"/>
    </row>
    <row r="336" spans="1:24" s="8" customFormat="1" x14ac:dyDescent="0.3">
      <c r="A336"/>
      <c r="B336"/>
      <c r="C336"/>
      <c r="D336"/>
      <c r="E336"/>
      <c r="F336"/>
      <c r="G336"/>
      <c r="H336" s="20"/>
      <c r="I336"/>
      <c r="J336"/>
    </row>
    <row r="337" spans="1:10" s="8" customFormat="1" x14ac:dyDescent="0.3">
      <c r="A337"/>
      <c r="B337"/>
      <c r="C337"/>
      <c r="D337"/>
      <c r="E337"/>
      <c r="F337"/>
      <c r="G337"/>
      <c r="H337" s="20"/>
      <c r="I337"/>
      <c r="J337"/>
    </row>
    <row r="338" spans="1:10" s="8" customFormat="1" x14ac:dyDescent="0.3">
      <c r="A338"/>
      <c r="B338"/>
      <c r="C338"/>
      <c r="D338"/>
      <c r="E338"/>
      <c r="F338"/>
      <c r="G338"/>
      <c r="H338" s="20"/>
      <c r="I338"/>
      <c r="J338"/>
    </row>
    <row r="339" spans="1:10" s="8" customFormat="1" x14ac:dyDescent="0.3">
      <c r="A339"/>
      <c r="B339"/>
      <c r="C339"/>
      <c r="D339"/>
      <c r="E339"/>
      <c r="F339"/>
      <c r="G339"/>
      <c r="H339" s="20"/>
      <c r="I339"/>
      <c r="J339"/>
    </row>
    <row r="340" spans="1:10" s="8" customFormat="1" x14ac:dyDescent="0.3">
      <c r="A340"/>
      <c r="B340"/>
      <c r="C340"/>
      <c r="D340"/>
      <c r="E340"/>
      <c r="F340"/>
      <c r="G340"/>
      <c r="H340" s="20"/>
      <c r="I340"/>
      <c r="J340"/>
    </row>
    <row r="341" spans="1:10" s="8" customFormat="1" x14ac:dyDescent="0.3">
      <c r="A341"/>
      <c r="B341"/>
      <c r="C341"/>
      <c r="D341"/>
      <c r="E341"/>
      <c r="F341"/>
      <c r="G341"/>
      <c r="H341" s="20"/>
      <c r="I341"/>
      <c r="J341"/>
    </row>
    <row r="342" spans="1:10" s="8" customFormat="1" x14ac:dyDescent="0.3">
      <c r="A342"/>
      <c r="B342"/>
      <c r="C342"/>
      <c r="D342"/>
      <c r="E342"/>
      <c r="F342"/>
      <c r="G342"/>
      <c r="H342" s="20"/>
      <c r="I342"/>
      <c r="J342"/>
    </row>
    <row r="343" spans="1:10" s="8" customFormat="1" x14ac:dyDescent="0.3">
      <c r="A343"/>
      <c r="B343"/>
      <c r="C343"/>
      <c r="D343"/>
      <c r="E343"/>
      <c r="F343"/>
      <c r="G343"/>
      <c r="H343" s="20"/>
      <c r="I343"/>
      <c r="J343"/>
    </row>
    <row r="344" spans="1:10" s="8" customFormat="1" x14ac:dyDescent="0.3">
      <c r="A344"/>
      <c r="B344"/>
      <c r="C344"/>
      <c r="D344"/>
      <c r="E344"/>
      <c r="F344"/>
      <c r="G344"/>
      <c r="H344" s="20"/>
      <c r="I344"/>
      <c r="J344"/>
    </row>
    <row r="345" spans="1:10" s="8" customFormat="1" x14ac:dyDescent="0.3">
      <c r="A345"/>
      <c r="B345"/>
      <c r="C345"/>
      <c r="D345"/>
      <c r="E345"/>
      <c r="F345"/>
      <c r="G345"/>
      <c r="H345" s="20"/>
      <c r="I345"/>
      <c r="J345"/>
    </row>
    <row r="346" spans="1:10" s="8" customFormat="1" x14ac:dyDescent="0.3">
      <c r="A346"/>
      <c r="B346"/>
      <c r="C346"/>
      <c r="D346"/>
      <c r="E346"/>
      <c r="F346"/>
      <c r="G346"/>
      <c r="H346" s="20"/>
      <c r="I346"/>
      <c r="J346"/>
    </row>
    <row r="347" spans="1:10" s="8" customFormat="1" x14ac:dyDescent="0.3">
      <c r="A347"/>
      <c r="B347"/>
      <c r="C347"/>
      <c r="D347"/>
      <c r="E347"/>
      <c r="F347"/>
      <c r="G347"/>
      <c r="H347" s="20"/>
      <c r="I347"/>
      <c r="J347"/>
    </row>
    <row r="348" spans="1:10" s="8" customFormat="1" x14ac:dyDescent="0.3">
      <c r="A348"/>
      <c r="B348"/>
      <c r="C348"/>
      <c r="D348"/>
      <c r="E348"/>
      <c r="F348"/>
      <c r="G348"/>
      <c r="H348" s="20"/>
      <c r="I348"/>
      <c r="J348"/>
    </row>
    <row r="349" spans="1:10" s="8" customFormat="1" x14ac:dyDescent="0.3">
      <c r="A349"/>
      <c r="B349"/>
      <c r="C349"/>
      <c r="D349"/>
      <c r="E349"/>
      <c r="F349"/>
      <c r="G349"/>
      <c r="H349" s="20"/>
      <c r="I349"/>
      <c r="J349"/>
    </row>
    <row r="350" spans="1:10" s="8" customFormat="1" x14ac:dyDescent="0.3">
      <c r="A350"/>
      <c r="B350"/>
      <c r="C350"/>
      <c r="D350"/>
      <c r="E350"/>
      <c r="F350"/>
      <c r="G350"/>
      <c r="H350" s="20"/>
      <c r="I350"/>
      <c r="J350"/>
    </row>
    <row r="351" spans="1:10" s="8" customFormat="1" x14ac:dyDescent="0.3">
      <c r="A351"/>
      <c r="B351"/>
      <c r="C351"/>
      <c r="D351"/>
      <c r="E351"/>
      <c r="F351"/>
      <c r="G351"/>
      <c r="H351" s="20"/>
      <c r="I351"/>
      <c r="J351"/>
    </row>
    <row r="352" spans="1:10" s="8" customFormat="1" x14ac:dyDescent="0.3">
      <c r="A352"/>
      <c r="B352"/>
      <c r="C352"/>
      <c r="D352"/>
      <c r="E352"/>
      <c r="F352"/>
      <c r="G352"/>
      <c r="H352" s="20"/>
      <c r="I352"/>
      <c r="J352"/>
    </row>
    <row r="353" spans="1:24" s="8" customFormat="1" x14ac:dyDescent="0.3">
      <c r="A353"/>
      <c r="B353"/>
      <c r="C353"/>
      <c r="D353"/>
      <c r="E353"/>
      <c r="F353"/>
      <c r="G353"/>
      <c r="H353" s="20"/>
      <c r="I353"/>
      <c r="J353"/>
    </row>
    <row r="354" spans="1:24" s="8" customFormat="1" x14ac:dyDescent="0.3">
      <c r="A354"/>
      <c r="B354"/>
      <c r="C354"/>
      <c r="D354"/>
      <c r="E354"/>
      <c r="F354"/>
      <c r="G354"/>
      <c r="H354" s="20"/>
      <c r="I354"/>
      <c r="J354"/>
    </row>
    <row r="355" spans="1:24" s="8" customFormat="1" x14ac:dyDescent="0.3">
      <c r="A355"/>
      <c r="B355"/>
      <c r="C355"/>
      <c r="D355"/>
      <c r="E355"/>
      <c r="F355"/>
      <c r="G355"/>
      <c r="H355" s="20"/>
      <c r="I355"/>
      <c r="J355"/>
    </row>
    <row r="356" spans="1:24" s="8" customFormat="1" x14ac:dyDescent="0.3">
      <c r="A356"/>
      <c r="B356"/>
      <c r="C356"/>
      <c r="D356"/>
      <c r="E356"/>
      <c r="F356"/>
      <c r="G356"/>
      <c r="H356" s="20"/>
      <c r="I356"/>
      <c r="J356"/>
    </row>
    <row r="357" spans="1:24" s="8" customFormat="1" x14ac:dyDescent="0.3">
      <c r="A357"/>
      <c r="B357"/>
      <c r="C357"/>
      <c r="D357"/>
      <c r="E357"/>
      <c r="F357"/>
      <c r="G357"/>
      <c r="H357" s="20"/>
      <c r="I357"/>
      <c r="J357"/>
    </row>
    <row r="358" spans="1:24" s="8" customFormat="1" x14ac:dyDescent="0.3">
      <c r="A358"/>
      <c r="B358"/>
      <c r="C358"/>
      <c r="D358"/>
      <c r="E358"/>
      <c r="F358"/>
      <c r="G358"/>
      <c r="H358" s="20"/>
      <c r="I358"/>
      <c r="J358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s="10" customFormat="1" x14ac:dyDescent="0.3">
      <c r="A359"/>
      <c r="B359"/>
      <c r="C359"/>
      <c r="D359"/>
      <c r="E359"/>
      <c r="F359"/>
      <c r="G359"/>
      <c r="H359" s="20"/>
      <c r="I359"/>
      <c r="J359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s="8" customFormat="1" x14ac:dyDescent="0.3">
      <c r="A360"/>
      <c r="B360"/>
      <c r="C360"/>
      <c r="D360"/>
      <c r="E360"/>
      <c r="F360"/>
      <c r="G360"/>
      <c r="H360" s="20"/>
      <c r="I360"/>
      <c r="J360"/>
    </row>
    <row r="361" spans="1:24" s="8" customFormat="1" x14ac:dyDescent="0.3">
      <c r="A361"/>
      <c r="B361"/>
      <c r="C361"/>
      <c r="D361"/>
      <c r="E361"/>
      <c r="F361"/>
      <c r="G361"/>
      <c r="H361" s="20"/>
      <c r="I361"/>
      <c r="J361"/>
    </row>
    <row r="362" spans="1:24" s="8" customFormat="1" x14ac:dyDescent="0.3">
      <c r="A362"/>
      <c r="B362"/>
      <c r="C362"/>
      <c r="D362"/>
      <c r="E362"/>
      <c r="F362"/>
      <c r="G362"/>
      <c r="H362" s="20"/>
      <c r="I362"/>
      <c r="J362"/>
    </row>
    <row r="363" spans="1:24" s="8" customFormat="1" x14ac:dyDescent="0.3">
      <c r="A363"/>
      <c r="B363"/>
      <c r="C363"/>
      <c r="D363"/>
      <c r="E363"/>
      <c r="F363"/>
      <c r="G363"/>
      <c r="H363" s="20"/>
      <c r="I363"/>
      <c r="J363"/>
    </row>
    <row r="364" spans="1:24" s="8" customFormat="1" x14ac:dyDescent="0.3">
      <c r="A364"/>
      <c r="B364"/>
      <c r="C364"/>
      <c r="D364"/>
      <c r="E364"/>
      <c r="F364"/>
      <c r="G364"/>
      <c r="H364" s="20"/>
      <c r="I364"/>
      <c r="J364"/>
    </row>
    <row r="365" spans="1:24" s="8" customFormat="1" x14ac:dyDescent="0.3">
      <c r="A365"/>
      <c r="B365"/>
      <c r="C365"/>
      <c r="D365"/>
      <c r="E365"/>
      <c r="F365"/>
      <c r="G365"/>
      <c r="H365" s="20"/>
      <c r="I365"/>
      <c r="J365"/>
    </row>
    <row r="366" spans="1:24" s="8" customFormat="1" x14ac:dyDescent="0.3">
      <c r="A366"/>
      <c r="B366"/>
      <c r="C366"/>
      <c r="D366"/>
      <c r="E366"/>
      <c r="F366"/>
      <c r="G366"/>
      <c r="H366" s="20"/>
      <c r="I366"/>
      <c r="J366"/>
    </row>
    <row r="367" spans="1:24" s="8" customFormat="1" x14ac:dyDescent="0.3">
      <c r="A367"/>
      <c r="B367"/>
      <c r="C367"/>
      <c r="D367"/>
      <c r="E367"/>
      <c r="F367"/>
      <c r="G367"/>
      <c r="H367" s="20"/>
      <c r="I367"/>
      <c r="J367"/>
    </row>
    <row r="368" spans="1:24" s="8" customFormat="1" x14ac:dyDescent="0.3">
      <c r="A368"/>
      <c r="B368"/>
      <c r="C368"/>
      <c r="D368"/>
      <c r="E368"/>
      <c r="F368"/>
      <c r="G368"/>
      <c r="H368" s="20"/>
      <c r="I368"/>
      <c r="J368"/>
    </row>
    <row r="369" spans="1:39" s="8" customFormat="1" x14ac:dyDescent="0.3">
      <c r="A369"/>
      <c r="B369"/>
      <c r="C369"/>
      <c r="D369"/>
      <c r="E369"/>
      <c r="F369"/>
      <c r="G369"/>
      <c r="H369" s="20"/>
      <c r="I369"/>
      <c r="J36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39" s="10" customFormat="1" x14ac:dyDescent="0.3">
      <c r="A370"/>
      <c r="B370"/>
      <c r="C370"/>
      <c r="D370"/>
      <c r="E370"/>
      <c r="F370"/>
      <c r="G370"/>
      <c r="H370" s="20"/>
      <c r="I370"/>
      <c r="J370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</row>
    <row r="371" spans="1:39" s="10" customFormat="1" x14ac:dyDescent="0.3">
      <c r="A371"/>
      <c r="B371"/>
      <c r="C371"/>
      <c r="D371"/>
      <c r="E371"/>
      <c r="F371"/>
      <c r="G371"/>
      <c r="H371" s="20"/>
      <c r="I371"/>
      <c r="J371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 spans="1:39" s="10" customFormat="1" x14ac:dyDescent="0.3">
      <c r="A372"/>
      <c r="B372"/>
      <c r="C372"/>
      <c r="D372"/>
      <c r="E372"/>
      <c r="F372"/>
      <c r="G372"/>
      <c r="H372" s="20"/>
      <c r="I372"/>
      <c r="J372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</row>
    <row r="373" spans="1:39" s="8" customFormat="1" x14ac:dyDescent="0.3">
      <c r="A373"/>
      <c r="B373"/>
      <c r="C373"/>
      <c r="D373"/>
      <c r="E373"/>
      <c r="F373"/>
      <c r="G373"/>
      <c r="H373" s="20"/>
      <c r="I373"/>
      <c r="J373"/>
    </row>
    <row r="374" spans="1:39" s="8" customFormat="1" x14ac:dyDescent="0.3">
      <c r="A374"/>
      <c r="B374"/>
      <c r="C374"/>
      <c r="D374"/>
      <c r="E374"/>
      <c r="F374"/>
      <c r="G374"/>
      <c r="H374" s="20"/>
      <c r="I374"/>
      <c r="J374"/>
    </row>
    <row r="375" spans="1:39" s="8" customFormat="1" x14ac:dyDescent="0.3">
      <c r="A375"/>
      <c r="B375"/>
      <c r="C375"/>
      <c r="D375"/>
      <c r="E375"/>
      <c r="F375"/>
      <c r="G375"/>
      <c r="H375" s="20"/>
      <c r="I375"/>
      <c r="J375"/>
    </row>
    <row r="376" spans="1:39" s="8" customFormat="1" x14ac:dyDescent="0.3">
      <c r="A376"/>
      <c r="B376"/>
      <c r="C376"/>
      <c r="D376"/>
      <c r="E376"/>
      <c r="F376"/>
      <c r="G376"/>
      <c r="H376" s="20"/>
      <c r="I376"/>
      <c r="J376"/>
    </row>
    <row r="377" spans="1:39" s="8" customFormat="1" x14ac:dyDescent="0.3">
      <c r="A377"/>
      <c r="B377"/>
      <c r="C377"/>
      <c r="D377"/>
      <c r="E377"/>
      <c r="F377"/>
      <c r="G377"/>
      <c r="H377" s="20"/>
      <c r="I377"/>
      <c r="J377"/>
    </row>
    <row r="378" spans="1:39" s="8" customFormat="1" x14ac:dyDescent="0.3">
      <c r="A378"/>
      <c r="B378"/>
      <c r="C378"/>
      <c r="D378"/>
      <c r="E378"/>
      <c r="F378"/>
      <c r="G378"/>
      <c r="H378" s="20"/>
      <c r="I378"/>
      <c r="J378"/>
    </row>
    <row r="379" spans="1:39" s="8" customFormat="1" x14ac:dyDescent="0.3">
      <c r="A379"/>
      <c r="B379"/>
      <c r="C379"/>
      <c r="D379"/>
      <c r="E379"/>
      <c r="F379"/>
      <c r="G379"/>
      <c r="H379" s="20"/>
      <c r="I379"/>
      <c r="J379"/>
    </row>
    <row r="380" spans="1:39" s="8" customFormat="1" x14ac:dyDescent="0.3">
      <c r="A380"/>
      <c r="B380"/>
      <c r="C380"/>
      <c r="D380"/>
      <c r="E380"/>
      <c r="F380"/>
      <c r="G380"/>
      <c r="H380" s="20"/>
      <c r="I380"/>
      <c r="J380"/>
    </row>
    <row r="381" spans="1:39" s="8" customFormat="1" x14ac:dyDescent="0.3">
      <c r="A381"/>
      <c r="B381"/>
      <c r="C381"/>
      <c r="D381"/>
      <c r="E381"/>
      <c r="F381"/>
      <c r="G381"/>
      <c r="H381" s="20"/>
      <c r="I381"/>
      <c r="J381"/>
    </row>
    <row r="382" spans="1:39" s="8" customFormat="1" x14ac:dyDescent="0.3">
      <c r="A382"/>
      <c r="B382"/>
      <c r="C382"/>
      <c r="D382"/>
      <c r="E382"/>
      <c r="F382"/>
      <c r="G382"/>
      <c r="H382" s="20"/>
      <c r="I382"/>
      <c r="J382"/>
    </row>
    <row r="383" spans="1:39" s="8" customFormat="1" x14ac:dyDescent="0.3">
      <c r="A383"/>
      <c r="B383"/>
      <c r="C383"/>
      <c r="D383"/>
      <c r="E383"/>
      <c r="F383"/>
      <c r="G383"/>
      <c r="H383" s="20"/>
      <c r="I383"/>
      <c r="J383"/>
    </row>
    <row r="384" spans="1:39" s="8" customFormat="1" x14ac:dyDescent="0.3">
      <c r="A384"/>
      <c r="B384"/>
      <c r="C384"/>
      <c r="D384"/>
      <c r="E384"/>
      <c r="F384"/>
      <c r="G384"/>
      <c r="H384" s="20"/>
      <c r="I384"/>
      <c r="J384"/>
    </row>
    <row r="385" spans="1:10" s="8" customFormat="1" x14ac:dyDescent="0.3">
      <c r="A385"/>
      <c r="B385"/>
      <c r="C385"/>
      <c r="D385"/>
      <c r="E385"/>
      <c r="F385"/>
      <c r="G385"/>
      <c r="H385" s="20"/>
      <c r="I385"/>
      <c r="J385"/>
    </row>
    <row r="386" spans="1:10" s="8" customFormat="1" x14ac:dyDescent="0.3">
      <c r="A386"/>
      <c r="B386"/>
      <c r="C386"/>
      <c r="D386"/>
      <c r="E386"/>
      <c r="F386"/>
      <c r="G386"/>
      <c r="H386" s="20"/>
      <c r="I386"/>
      <c r="J386"/>
    </row>
    <row r="387" spans="1:10" s="8" customFormat="1" x14ac:dyDescent="0.3">
      <c r="A387"/>
      <c r="B387"/>
      <c r="C387"/>
      <c r="D387"/>
      <c r="E387"/>
      <c r="F387"/>
      <c r="G387"/>
      <c r="H387" s="20"/>
      <c r="I387"/>
      <c r="J387"/>
    </row>
    <row r="388" spans="1:10" s="8" customFormat="1" x14ac:dyDescent="0.3">
      <c r="A388"/>
      <c r="B388"/>
      <c r="C388"/>
      <c r="D388"/>
      <c r="E388"/>
      <c r="F388"/>
      <c r="G388"/>
      <c r="H388" s="20"/>
      <c r="I388"/>
      <c r="J388"/>
    </row>
    <row r="389" spans="1:10" s="8" customFormat="1" x14ac:dyDescent="0.3">
      <c r="A389"/>
      <c r="B389"/>
      <c r="C389"/>
      <c r="D389"/>
      <c r="E389"/>
      <c r="F389"/>
      <c r="G389"/>
      <c r="H389" s="20"/>
      <c r="I389"/>
      <c r="J389"/>
    </row>
    <row r="390" spans="1:10" s="8" customFormat="1" x14ac:dyDescent="0.3">
      <c r="A390"/>
      <c r="B390"/>
      <c r="C390"/>
      <c r="D390"/>
      <c r="E390"/>
      <c r="F390"/>
      <c r="G390"/>
      <c r="H390" s="20"/>
      <c r="I390"/>
      <c r="J390"/>
    </row>
    <row r="391" spans="1:10" s="8" customFormat="1" x14ac:dyDescent="0.3">
      <c r="A391"/>
      <c r="B391"/>
      <c r="C391"/>
      <c r="D391"/>
      <c r="E391"/>
      <c r="F391"/>
      <c r="G391"/>
      <c r="H391" s="20"/>
      <c r="I391"/>
      <c r="J391"/>
    </row>
    <row r="392" spans="1:10" s="8" customFormat="1" x14ac:dyDescent="0.3">
      <c r="A392"/>
      <c r="B392"/>
      <c r="C392"/>
      <c r="D392"/>
      <c r="E392"/>
      <c r="F392"/>
      <c r="G392"/>
      <c r="H392" s="20"/>
      <c r="I392"/>
      <c r="J392"/>
    </row>
    <row r="393" spans="1:10" s="8" customFormat="1" x14ac:dyDescent="0.3">
      <c r="A393"/>
      <c r="B393"/>
      <c r="C393"/>
      <c r="D393"/>
      <c r="E393"/>
      <c r="F393"/>
      <c r="G393"/>
      <c r="H393" s="20"/>
      <c r="I393"/>
      <c r="J393"/>
    </row>
    <row r="394" spans="1:10" s="8" customFormat="1" x14ac:dyDescent="0.3">
      <c r="A394"/>
      <c r="B394"/>
      <c r="C394"/>
      <c r="D394"/>
      <c r="E394"/>
      <c r="F394"/>
      <c r="G394"/>
      <c r="H394" s="20"/>
      <c r="I394"/>
      <c r="J394"/>
    </row>
    <row r="395" spans="1:10" s="8" customFormat="1" x14ac:dyDescent="0.3">
      <c r="A395"/>
      <c r="B395"/>
      <c r="C395"/>
      <c r="D395"/>
      <c r="E395"/>
      <c r="F395"/>
      <c r="G395"/>
      <c r="H395" s="20"/>
      <c r="I395"/>
      <c r="J395"/>
    </row>
    <row r="396" spans="1:10" s="8" customFormat="1" x14ac:dyDescent="0.3">
      <c r="A396"/>
      <c r="B396"/>
      <c r="C396"/>
      <c r="D396"/>
      <c r="E396"/>
      <c r="F396"/>
      <c r="G396"/>
      <c r="H396" s="20"/>
      <c r="I396"/>
      <c r="J396"/>
    </row>
    <row r="397" spans="1:10" s="8" customFormat="1" x14ac:dyDescent="0.3">
      <c r="A397"/>
      <c r="B397"/>
      <c r="C397"/>
      <c r="D397"/>
      <c r="E397"/>
      <c r="F397"/>
      <c r="G397"/>
      <c r="H397" s="20"/>
      <c r="I397"/>
      <c r="J397"/>
    </row>
    <row r="398" spans="1:10" s="8" customFormat="1" x14ac:dyDescent="0.3">
      <c r="A398"/>
      <c r="B398"/>
      <c r="C398"/>
      <c r="D398"/>
      <c r="E398"/>
      <c r="F398"/>
      <c r="G398"/>
      <c r="H398" s="20"/>
      <c r="I398"/>
      <c r="J398"/>
    </row>
    <row r="399" spans="1:10" s="8" customFormat="1" x14ac:dyDescent="0.3">
      <c r="A399"/>
      <c r="B399"/>
      <c r="C399"/>
      <c r="D399"/>
      <c r="E399"/>
      <c r="F399"/>
      <c r="G399"/>
      <c r="H399" s="20"/>
      <c r="I399"/>
      <c r="J399"/>
    </row>
    <row r="400" spans="1:10" s="8" customFormat="1" x14ac:dyDescent="0.3">
      <c r="A400"/>
      <c r="B400"/>
      <c r="C400"/>
      <c r="D400"/>
      <c r="E400"/>
      <c r="F400"/>
      <c r="G400"/>
      <c r="H400" s="20"/>
      <c r="I400"/>
      <c r="J400"/>
    </row>
    <row r="401" spans="1:10" s="8" customFormat="1" x14ac:dyDescent="0.3">
      <c r="A401"/>
      <c r="B401"/>
      <c r="C401"/>
      <c r="D401"/>
      <c r="E401"/>
      <c r="F401"/>
      <c r="G401"/>
      <c r="H401" s="20"/>
      <c r="I401"/>
      <c r="J401"/>
    </row>
    <row r="402" spans="1:10" s="8" customFormat="1" x14ac:dyDescent="0.3">
      <c r="A402"/>
      <c r="B402"/>
      <c r="C402"/>
      <c r="D402"/>
      <c r="E402"/>
      <c r="F402"/>
      <c r="G402"/>
      <c r="H402" s="20"/>
      <c r="I402"/>
      <c r="J402"/>
    </row>
    <row r="403" spans="1:10" s="8" customFormat="1" x14ac:dyDescent="0.3">
      <c r="A403"/>
      <c r="B403"/>
      <c r="C403"/>
      <c r="D403"/>
      <c r="E403"/>
      <c r="F403"/>
      <c r="G403"/>
      <c r="H403" s="20"/>
      <c r="I403"/>
      <c r="J403"/>
    </row>
    <row r="404" spans="1:10" s="8" customFormat="1" x14ac:dyDescent="0.3">
      <c r="A404"/>
      <c r="B404"/>
      <c r="C404"/>
      <c r="D404"/>
      <c r="E404"/>
      <c r="F404"/>
      <c r="G404"/>
      <c r="H404" s="20"/>
      <c r="I404"/>
      <c r="J404"/>
    </row>
    <row r="405" spans="1:10" s="8" customFormat="1" x14ac:dyDescent="0.3">
      <c r="A405"/>
      <c r="B405"/>
      <c r="C405"/>
      <c r="D405"/>
      <c r="E405"/>
      <c r="F405"/>
      <c r="G405"/>
      <c r="H405" s="20"/>
      <c r="I405"/>
      <c r="J405"/>
    </row>
    <row r="406" spans="1:10" s="8" customFormat="1" x14ac:dyDescent="0.3">
      <c r="A406"/>
      <c r="B406"/>
      <c r="C406"/>
      <c r="D406"/>
      <c r="E406"/>
      <c r="F406"/>
      <c r="G406"/>
      <c r="H406" s="20"/>
      <c r="I406"/>
      <c r="J406"/>
    </row>
    <row r="407" spans="1:10" s="8" customFormat="1" x14ac:dyDescent="0.3">
      <c r="A407"/>
      <c r="B407"/>
      <c r="C407"/>
      <c r="D407"/>
      <c r="E407"/>
      <c r="F407"/>
      <c r="G407"/>
      <c r="H407" s="20"/>
      <c r="I407"/>
      <c r="J407"/>
    </row>
    <row r="408" spans="1:10" s="8" customFormat="1" x14ac:dyDescent="0.3">
      <c r="A408"/>
      <c r="B408"/>
      <c r="C408"/>
      <c r="D408"/>
      <c r="E408"/>
      <c r="F408"/>
      <c r="G408"/>
      <c r="H408" s="20"/>
      <c r="I408"/>
      <c r="J408"/>
    </row>
    <row r="409" spans="1:10" s="8" customFormat="1" x14ac:dyDescent="0.3">
      <c r="A409"/>
      <c r="B409"/>
      <c r="C409"/>
      <c r="D409"/>
      <c r="E409"/>
      <c r="F409"/>
      <c r="G409"/>
      <c r="H409" s="20"/>
      <c r="I409"/>
      <c r="J409"/>
    </row>
    <row r="410" spans="1:10" s="8" customFormat="1" x14ac:dyDescent="0.3">
      <c r="A410"/>
      <c r="B410"/>
      <c r="C410"/>
      <c r="D410"/>
      <c r="E410"/>
      <c r="F410"/>
      <c r="G410"/>
      <c r="H410" s="20"/>
      <c r="I410"/>
      <c r="J410"/>
    </row>
    <row r="411" spans="1:10" s="8" customFormat="1" x14ac:dyDescent="0.3">
      <c r="A411"/>
      <c r="B411"/>
      <c r="C411"/>
      <c r="D411"/>
      <c r="E411"/>
      <c r="F411"/>
      <c r="G411"/>
      <c r="H411" s="20"/>
      <c r="I411"/>
      <c r="J411"/>
    </row>
    <row r="412" spans="1:10" s="8" customFormat="1" x14ac:dyDescent="0.3">
      <c r="A412"/>
      <c r="B412"/>
      <c r="C412"/>
      <c r="D412"/>
      <c r="E412"/>
      <c r="F412"/>
      <c r="G412"/>
      <c r="H412" s="20"/>
      <c r="I412"/>
      <c r="J412"/>
    </row>
    <row r="413" spans="1:10" s="8" customFormat="1" x14ac:dyDescent="0.3">
      <c r="A413"/>
      <c r="B413"/>
      <c r="C413"/>
      <c r="D413"/>
      <c r="E413"/>
      <c r="F413"/>
      <c r="G413"/>
      <c r="H413" s="20"/>
      <c r="I413"/>
      <c r="J413"/>
    </row>
    <row r="414" spans="1:10" s="8" customFormat="1" x14ac:dyDescent="0.3">
      <c r="A414"/>
      <c r="B414"/>
      <c r="C414"/>
      <c r="D414"/>
      <c r="E414"/>
      <c r="F414"/>
      <c r="G414"/>
      <c r="H414" s="20"/>
      <c r="I414"/>
      <c r="J414"/>
    </row>
    <row r="415" spans="1:10" s="8" customFormat="1" x14ac:dyDescent="0.3">
      <c r="A415"/>
      <c r="B415"/>
      <c r="C415"/>
      <c r="D415"/>
      <c r="E415"/>
      <c r="F415"/>
      <c r="G415"/>
      <c r="H415" s="20"/>
      <c r="I415"/>
      <c r="J415"/>
    </row>
    <row r="416" spans="1:10" s="8" customFormat="1" x14ac:dyDescent="0.3">
      <c r="A416"/>
      <c r="B416"/>
      <c r="C416"/>
      <c r="D416"/>
      <c r="E416"/>
      <c r="F416"/>
      <c r="G416"/>
      <c r="H416" s="20"/>
      <c r="I416"/>
      <c r="J416"/>
    </row>
    <row r="417" spans="1:10" s="8" customFormat="1" x14ac:dyDescent="0.3">
      <c r="A417"/>
      <c r="B417"/>
      <c r="C417"/>
      <c r="D417"/>
      <c r="E417"/>
      <c r="F417"/>
      <c r="G417"/>
      <c r="H417" s="20"/>
      <c r="I417"/>
      <c r="J417"/>
    </row>
    <row r="418" spans="1:10" s="8" customFormat="1" x14ac:dyDescent="0.3">
      <c r="A418"/>
      <c r="B418"/>
      <c r="C418"/>
      <c r="D418"/>
      <c r="E418"/>
      <c r="F418"/>
      <c r="G418"/>
      <c r="H418" s="20"/>
      <c r="I418"/>
      <c r="J418"/>
    </row>
    <row r="419" spans="1:10" s="8" customFormat="1" x14ac:dyDescent="0.3">
      <c r="A419"/>
      <c r="B419"/>
      <c r="C419"/>
      <c r="D419"/>
      <c r="E419"/>
      <c r="F419"/>
      <c r="G419"/>
      <c r="H419" s="20"/>
      <c r="I419"/>
      <c r="J419"/>
    </row>
    <row r="420" spans="1:10" s="8" customFormat="1" x14ac:dyDescent="0.3">
      <c r="A420"/>
      <c r="B420"/>
      <c r="C420"/>
      <c r="D420"/>
      <c r="E420"/>
      <c r="F420"/>
      <c r="G420"/>
      <c r="H420" s="20"/>
      <c r="I420"/>
      <c r="J420"/>
    </row>
    <row r="421" spans="1:10" s="8" customFormat="1" x14ac:dyDescent="0.3">
      <c r="A421"/>
      <c r="B421"/>
      <c r="C421"/>
      <c r="D421"/>
      <c r="E421"/>
      <c r="F421"/>
      <c r="G421"/>
      <c r="H421" s="20"/>
      <c r="I421"/>
      <c r="J421"/>
    </row>
    <row r="422" spans="1:10" s="8" customFormat="1" x14ac:dyDescent="0.3">
      <c r="A422"/>
      <c r="B422"/>
      <c r="C422"/>
      <c r="D422"/>
      <c r="E422"/>
      <c r="F422"/>
      <c r="G422"/>
      <c r="H422" s="20"/>
      <c r="I422"/>
      <c r="J422"/>
    </row>
    <row r="423" spans="1:10" s="8" customFormat="1" x14ac:dyDescent="0.3">
      <c r="A423"/>
      <c r="B423"/>
      <c r="C423"/>
      <c r="D423"/>
      <c r="E423"/>
      <c r="F423"/>
      <c r="G423"/>
      <c r="H423" s="20"/>
      <c r="I423"/>
      <c r="J423"/>
    </row>
    <row r="424" spans="1:10" s="8" customFormat="1" x14ac:dyDescent="0.3">
      <c r="A424"/>
      <c r="B424"/>
      <c r="C424"/>
      <c r="D424"/>
      <c r="E424"/>
      <c r="F424"/>
      <c r="G424"/>
      <c r="H424" s="20"/>
      <c r="I424"/>
      <c r="J424"/>
    </row>
    <row r="425" spans="1:10" s="8" customFormat="1" x14ac:dyDescent="0.3">
      <c r="A425"/>
      <c r="B425"/>
      <c r="C425"/>
      <c r="D425"/>
      <c r="E425"/>
      <c r="F425"/>
      <c r="G425"/>
      <c r="H425" s="20"/>
      <c r="I425"/>
      <c r="J425"/>
    </row>
    <row r="426" spans="1:10" s="8" customFormat="1" x14ac:dyDescent="0.3">
      <c r="A426"/>
      <c r="B426"/>
      <c r="C426"/>
      <c r="D426"/>
      <c r="E426"/>
      <c r="F426"/>
      <c r="G426"/>
      <c r="H426" s="20"/>
      <c r="I426"/>
      <c r="J426"/>
    </row>
    <row r="427" spans="1:10" s="8" customFormat="1" x14ac:dyDescent="0.3">
      <c r="A427"/>
      <c r="B427"/>
      <c r="C427"/>
      <c r="D427"/>
      <c r="E427"/>
      <c r="F427"/>
      <c r="G427"/>
      <c r="H427" s="20"/>
      <c r="I427"/>
      <c r="J427"/>
    </row>
    <row r="428" spans="1:10" s="8" customFormat="1" x14ac:dyDescent="0.3">
      <c r="A428"/>
      <c r="B428"/>
      <c r="C428"/>
      <c r="D428"/>
      <c r="E428"/>
      <c r="F428"/>
      <c r="G428"/>
      <c r="H428" s="20"/>
      <c r="I428"/>
      <c r="J428"/>
    </row>
    <row r="429" spans="1:10" s="8" customFormat="1" x14ac:dyDescent="0.3">
      <c r="A429"/>
      <c r="B429"/>
      <c r="C429"/>
      <c r="D429"/>
      <c r="E429"/>
      <c r="F429"/>
      <c r="G429"/>
      <c r="H429" s="20"/>
      <c r="I429"/>
      <c r="J429"/>
    </row>
    <row r="430" spans="1:10" s="8" customFormat="1" x14ac:dyDescent="0.3">
      <c r="A430"/>
      <c r="B430"/>
      <c r="C430"/>
      <c r="D430"/>
      <c r="E430"/>
      <c r="F430"/>
      <c r="G430"/>
      <c r="H430" s="20"/>
      <c r="I430"/>
      <c r="J430"/>
    </row>
    <row r="431" spans="1:10" s="8" customFormat="1" x14ac:dyDescent="0.3">
      <c r="A431"/>
      <c r="B431"/>
      <c r="C431"/>
      <c r="D431"/>
      <c r="E431"/>
      <c r="F431"/>
      <c r="G431"/>
      <c r="H431" s="20"/>
      <c r="I431"/>
      <c r="J431"/>
    </row>
    <row r="432" spans="1:10" s="8" customFormat="1" x14ac:dyDescent="0.3">
      <c r="A432"/>
      <c r="B432"/>
      <c r="C432"/>
      <c r="D432"/>
      <c r="E432"/>
      <c r="F432"/>
      <c r="G432"/>
      <c r="H432" s="20"/>
      <c r="I432"/>
      <c r="J432"/>
    </row>
    <row r="433" spans="1:10" s="8" customFormat="1" x14ac:dyDescent="0.3">
      <c r="A433"/>
      <c r="B433"/>
      <c r="C433"/>
      <c r="D433"/>
      <c r="E433"/>
      <c r="F433"/>
      <c r="G433"/>
      <c r="H433" s="20"/>
      <c r="I433"/>
      <c r="J433"/>
    </row>
    <row r="434" spans="1:10" s="8" customFormat="1" x14ac:dyDescent="0.3">
      <c r="A434"/>
      <c r="B434"/>
      <c r="C434"/>
      <c r="D434"/>
      <c r="E434"/>
      <c r="F434"/>
      <c r="G434"/>
      <c r="H434" s="20"/>
      <c r="I434"/>
      <c r="J434"/>
    </row>
    <row r="435" spans="1:10" s="8" customFormat="1" x14ac:dyDescent="0.3">
      <c r="A435"/>
      <c r="B435"/>
      <c r="C435"/>
      <c r="D435"/>
      <c r="E435"/>
      <c r="F435"/>
      <c r="G435"/>
      <c r="H435" s="20"/>
      <c r="I435"/>
      <c r="J435"/>
    </row>
    <row r="436" spans="1:10" s="8" customFormat="1" x14ac:dyDescent="0.3">
      <c r="A436"/>
      <c r="B436"/>
      <c r="C436"/>
      <c r="D436"/>
      <c r="E436"/>
      <c r="F436"/>
      <c r="G436"/>
      <c r="H436" s="20"/>
      <c r="I436"/>
      <c r="J436"/>
    </row>
    <row r="437" spans="1:10" s="8" customFormat="1" x14ac:dyDescent="0.3">
      <c r="A437"/>
      <c r="B437"/>
      <c r="C437"/>
      <c r="D437"/>
      <c r="E437"/>
      <c r="F437"/>
      <c r="G437"/>
      <c r="H437" s="20"/>
      <c r="I437"/>
      <c r="J437"/>
    </row>
    <row r="438" spans="1:10" s="8" customFormat="1" x14ac:dyDescent="0.3">
      <c r="A438"/>
      <c r="B438"/>
      <c r="C438"/>
      <c r="D438"/>
      <c r="E438"/>
      <c r="F438"/>
      <c r="G438"/>
      <c r="H438" s="20"/>
      <c r="I438"/>
      <c r="J438"/>
    </row>
    <row r="439" spans="1:10" s="8" customFormat="1" x14ac:dyDescent="0.3">
      <c r="A439"/>
      <c r="B439"/>
      <c r="C439"/>
      <c r="D439"/>
      <c r="E439"/>
      <c r="F439"/>
      <c r="G439"/>
      <c r="H439" s="20"/>
      <c r="I439"/>
      <c r="J439"/>
    </row>
    <row r="440" spans="1:10" s="8" customFormat="1" x14ac:dyDescent="0.3">
      <c r="A440"/>
      <c r="B440"/>
      <c r="C440"/>
      <c r="D440"/>
      <c r="E440"/>
      <c r="F440"/>
      <c r="G440"/>
      <c r="H440" s="20"/>
      <c r="I440"/>
      <c r="J440"/>
    </row>
    <row r="441" spans="1:10" s="8" customFormat="1" x14ac:dyDescent="0.3">
      <c r="A441"/>
      <c r="B441"/>
      <c r="C441"/>
      <c r="D441"/>
      <c r="E441"/>
      <c r="F441"/>
      <c r="G441"/>
      <c r="H441" s="20"/>
      <c r="I441"/>
      <c r="J441"/>
    </row>
    <row r="442" spans="1:10" s="8" customFormat="1" x14ac:dyDescent="0.3">
      <c r="A442"/>
      <c r="B442"/>
      <c r="C442"/>
      <c r="D442"/>
      <c r="E442"/>
      <c r="F442"/>
      <c r="G442"/>
      <c r="H442" s="20"/>
      <c r="I442"/>
      <c r="J442"/>
    </row>
    <row r="443" spans="1:10" s="8" customFormat="1" x14ac:dyDescent="0.3">
      <c r="A443"/>
      <c r="B443"/>
      <c r="C443"/>
      <c r="D443"/>
      <c r="E443"/>
      <c r="F443"/>
      <c r="G443"/>
      <c r="H443" s="20"/>
      <c r="I443"/>
      <c r="J443"/>
    </row>
    <row r="444" spans="1:10" s="8" customFormat="1" x14ac:dyDescent="0.3">
      <c r="A444"/>
      <c r="B444"/>
      <c r="C444"/>
      <c r="D444"/>
      <c r="E444"/>
      <c r="F444"/>
      <c r="G444"/>
      <c r="H444" s="20"/>
      <c r="I444"/>
      <c r="J444"/>
    </row>
    <row r="445" spans="1:10" s="8" customFormat="1" x14ac:dyDescent="0.3">
      <c r="A445"/>
      <c r="B445"/>
      <c r="C445"/>
      <c r="D445"/>
      <c r="E445"/>
      <c r="F445"/>
      <c r="G445"/>
      <c r="H445" s="20"/>
      <c r="I445"/>
      <c r="J445"/>
    </row>
    <row r="446" spans="1:10" s="8" customFormat="1" x14ac:dyDescent="0.3">
      <c r="A446"/>
      <c r="B446"/>
      <c r="C446"/>
      <c r="D446"/>
      <c r="E446"/>
      <c r="F446"/>
      <c r="G446"/>
      <c r="H446" s="20"/>
      <c r="I446"/>
      <c r="J446"/>
    </row>
    <row r="447" spans="1:10" s="8" customFormat="1" x14ac:dyDescent="0.3">
      <c r="A447"/>
      <c r="B447"/>
      <c r="C447"/>
      <c r="D447"/>
      <c r="E447"/>
      <c r="F447"/>
      <c r="G447"/>
      <c r="H447" s="20"/>
      <c r="I447"/>
      <c r="J447"/>
    </row>
    <row r="448" spans="1:10" s="8" customFormat="1" x14ac:dyDescent="0.3">
      <c r="A448"/>
      <c r="B448"/>
      <c r="C448"/>
      <c r="D448"/>
      <c r="E448"/>
      <c r="F448"/>
      <c r="G448"/>
      <c r="H448" s="20"/>
      <c r="I448"/>
      <c r="J448"/>
    </row>
    <row r="449" spans="1:10" s="8" customFormat="1" x14ac:dyDescent="0.3">
      <c r="A449"/>
      <c r="B449"/>
      <c r="C449"/>
      <c r="D449"/>
      <c r="E449"/>
      <c r="F449"/>
      <c r="G449"/>
      <c r="H449" s="20"/>
      <c r="I449"/>
      <c r="J449"/>
    </row>
    <row r="450" spans="1:10" s="8" customFormat="1" x14ac:dyDescent="0.3">
      <c r="A450"/>
      <c r="B450"/>
      <c r="C450"/>
      <c r="D450"/>
      <c r="E450"/>
      <c r="F450"/>
      <c r="G450"/>
      <c r="H450" s="20"/>
      <c r="I450"/>
      <c r="J450"/>
    </row>
    <row r="451" spans="1:10" s="8" customFormat="1" x14ac:dyDescent="0.3">
      <c r="A451"/>
      <c r="B451"/>
      <c r="C451"/>
      <c r="D451"/>
      <c r="E451"/>
      <c r="F451"/>
      <c r="G451"/>
      <c r="H451" s="20"/>
      <c r="I451"/>
      <c r="J451"/>
    </row>
    <row r="452" spans="1:10" s="8" customFormat="1" x14ac:dyDescent="0.3">
      <c r="A452"/>
      <c r="B452"/>
      <c r="C452"/>
      <c r="D452"/>
      <c r="E452"/>
      <c r="F452"/>
      <c r="G452"/>
      <c r="H452" s="20"/>
      <c r="I452"/>
      <c r="J452"/>
    </row>
    <row r="453" spans="1:10" s="8" customFormat="1" x14ac:dyDescent="0.3">
      <c r="A453"/>
      <c r="B453"/>
      <c r="C453"/>
      <c r="D453"/>
      <c r="E453"/>
      <c r="F453"/>
      <c r="G453"/>
      <c r="H453" s="20"/>
      <c r="I453"/>
      <c r="J453"/>
    </row>
    <row r="454" spans="1:10" s="8" customFormat="1" x14ac:dyDescent="0.3">
      <c r="A454"/>
      <c r="B454"/>
      <c r="C454"/>
      <c r="D454"/>
      <c r="E454"/>
      <c r="F454"/>
      <c r="G454"/>
      <c r="H454" s="20"/>
      <c r="I454"/>
      <c r="J454"/>
    </row>
    <row r="455" spans="1:10" s="8" customFormat="1" x14ac:dyDescent="0.3">
      <c r="A455"/>
      <c r="B455"/>
      <c r="C455"/>
      <c r="D455"/>
      <c r="E455"/>
      <c r="F455"/>
      <c r="G455"/>
      <c r="H455" s="20"/>
      <c r="I455"/>
      <c r="J455"/>
    </row>
    <row r="456" spans="1:10" s="8" customFormat="1" x14ac:dyDescent="0.3">
      <c r="A456"/>
      <c r="B456"/>
      <c r="C456"/>
      <c r="D456"/>
      <c r="E456"/>
      <c r="F456"/>
      <c r="G456"/>
      <c r="H456" s="20"/>
      <c r="I456"/>
      <c r="J456"/>
    </row>
    <row r="457" spans="1:10" s="8" customFormat="1" x14ac:dyDescent="0.3">
      <c r="A457"/>
      <c r="B457"/>
      <c r="C457"/>
      <c r="D457"/>
      <c r="E457"/>
      <c r="F457"/>
      <c r="G457"/>
      <c r="H457" s="20"/>
      <c r="I457"/>
      <c r="J457"/>
    </row>
    <row r="458" spans="1:10" s="8" customFormat="1" x14ac:dyDescent="0.3">
      <c r="A458"/>
      <c r="B458"/>
      <c r="C458"/>
      <c r="D458"/>
      <c r="E458"/>
      <c r="F458"/>
      <c r="G458"/>
      <c r="H458" s="20"/>
      <c r="I458"/>
      <c r="J458"/>
    </row>
    <row r="459" spans="1:10" s="8" customFormat="1" x14ac:dyDescent="0.3">
      <c r="A459"/>
      <c r="B459"/>
      <c r="C459"/>
      <c r="D459"/>
      <c r="E459"/>
      <c r="F459"/>
      <c r="G459"/>
      <c r="H459" s="20"/>
      <c r="I459"/>
      <c r="J459"/>
    </row>
    <row r="460" spans="1:10" s="8" customFormat="1" x14ac:dyDescent="0.3">
      <c r="A460"/>
      <c r="B460"/>
      <c r="C460"/>
      <c r="D460"/>
      <c r="E460"/>
      <c r="F460"/>
      <c r="G460"/>
      <c r="H460" s="20"/>
      <c r="I460"/>
      <c r="J460"/>
    </row>
    <row r="461" spans="1:10" s="8" customFormat="1" x14ac:dyDescent="0.3">
      <c r="A461"/>
      <c r="B461"/>
      <c r="C461"/>
      <c r="D461"/>
      <c r="E461"/>
      <c r="F461"/>
      <c r="G461"/>
      <c r="H461" s="20"/>
      <c r="I461"/>
      <c r="J461"/>
    </row>
    <row r="462" spans="1:10" s="8" customFormat="1" x14ac:dyDescent="0.3">
      <c r="A462"/>
      <c r="B462"/>
      <c r="C462"/>
      <c r="D462"/>
      <c r="E462"/>
      <c r="F462"/>
      <c r="G462"/>
      <c r="H462" s="20"/>
      <c r="I462"/>
      <c r="J462"/>
    </row>
    <row r="463" spans="1:10" s="8" customFormat="1" x14ac:dyDescent="0.3">
      <c r="A463"/>
      <c r="B463"/>
      <c r="C463"/>
      <c r="D463"/>
      <c r="E463"/>
      <c r="F463"/>
      <c r="G463"/>
      <c r="H463" s="20"/>
      <c r="I463"/>
      <c r="J463"/>
    </row>
    <row r="464" spans="1:10" s="8" customFormat="1" x14ac:dyDescent="0.3">
      <c r="A464"/>
      <c r="B464"/>
      <c r="C464"/>
      <c r="D464"/>
      <c r="E464"/>
      <c r="F464"/>
      <c r="G464"/>
      <c r="H464" s="20"/>
      <c r="I464"/>
      <c r="J464"/>
    </row>
    <row r="465" spans="1:24" s="8" customFormat="1" x14ac:dyDescent="0.3">
      <c r="A465"/>
      <c r="B465"/>
      <c r="C465"/>
      <c r="D465"/>
      <c r="E465"/>
      <c r="F465"/>
      <c r="G465"/>
      <c r="H465" s="20"/>
      <c r="I465"/>
      <c r="J465"/>
    </row>
    <row r="466" spans="1:24" s="8" customFormat="1" x14ac:dyDescent="0.3">
      <c r="A466"/>
      <c r="B466"/>
      <c r="C466"/>
      <c r="D466"/>
      <c r="E466"/>
      <c r="F466"/>
      <c r="G466"/>
      <c r="H466" s="20"/>
      <c r="I466"/>
      <c r="J466"/>
    </row>
    <row r="467" spans="1:24" s="8" customFormat="1" x14ac:dyDescent="0.3">
      <c r="A467"/>
      <c r="B467"/>
      <c r="C467"/>
      <c r="D467"/>
      <c r="E467"/>
      <c r="F467"/>
      <c r="G467"/>
      <c r="H467" s="20"/>
      <c r="I467"/>
      <c r="J467"/>
    </row>
    <row r="468" spans="1:24" s="8" customFormat="1" x14ac:dyDescent="0.3">
      <c r="A468"/>
      <c r="B468"/>
      <c r="C468"/>
      <c r="D468"/>
      <c r="E468"/>
      <c r="F468"/>
      <c r="G468"/>
      <c r="H468" s="20"/>
      <c r="I468"/>
      <c r="J468"/>
    </row>
    <row r="469" spans="1:24" s="8" customFormat="1" x14ac:dyDescent="0.3">
      <c r="A469"/>
      <c r="B469"/>
      <c r="C469"/>
      <c r="D469"/>
      <c r="E469"/>
      <c r="F469"/>
      <c r="G469"/>
      <c r="H469" s="20"/>
      <c r="I469"/>
      <c r="J469"/>
    </row>
    <row r="470" spans="1:24" s="8" customFormat="1" x14ac:dyDescent="0.3">
      <c r="A470"/>
      <c r="B470"/>
      <c r="C470"/>
      <c r="D470"/>
      <c r="E470"/>
      <c r="F470"/>
      <c r="G470"/>
      <c r="H470" s="20"/>
      <c r="I470"/>
      <c r="J470"/>
    </row>
    <row r="471" spans="1:24" s="8" customFormat="1" x14ac:dyDescent="0.3">
      <c r="A471"/>
      <c r="B471"/>
      <c r="C471"/>
      <c r="D471"/>
      <c r="E471"/>
      <c r="F471"/>
      <c r="G471"/>
      <c r="H471" s="20"/>
      <c r="I471"/>
      <c r="J471"/>
    </row>
    <row r="472" spans="1:24" s="8" customFormat="1" x14ac:dyDescent="0.3">
      <c r="A472"/>
      <c r="B472"/>
      <c r="C472"/>
      <c r="D472"/>
      <c r="E472"/>
      <c r="F472"/>
      <c r="G472"/>
      <c r="H472" s="20"/>
      <c r="I472"/>
      <c r="J472"/>
    </row>
    <row r="473" spans="1:24" s="8" customFormat="1" x14ac:dyDescent="0.3">
      <c r="A473"/>
      <c r="B473"/>
      <c r="C473"/>
      <c r="D473"/>
      <c r="E473"/>
      <c r="F473"/>
      <c r="G473"/>
      <c r="H473" s="20"/>
      <c r="I473"/>
      <c r="J473"/>
    </row>
    <row r="474" spans="1:24" s="8" customFormat="1" x14ac:dyDescent="0.3">
      <c r="A474"/>
      <c r="B474"/>
      <c r="C474"/>
      <c r="D474"/>
      <c r="E474"/>
      <c r="F474"/>
      <c r="G474"/>
      <c r="H474" s="20"/>
      <c r="I474"/>
      <c r="J474"/>
    </row>
    <row r="475" spans="1:24" s="8" customFormat="1" x14ac:dyDescent="0.3">
      <c r="A475"/>
      <c r="B475"/>
      <c r="C475"/>
      <c r="D475"/>
      <c r="E475"/>
      <c r="F475"/>
      <c r="G475"/>
      <c r="H475" s="20"/>
      <c r="I475"/>
      <c r="J475"/>
    </row>
    <row r="476" spans="1:24" s="8" customFormat="1" x14ac:dyDescent="0.3">
      <c r="A476"/>
      <c r="B476"/>
      <c r="C476"/>
      <c r="D476"/>
      <c r="E476"/>
      <c r="F476"/>
      <c r="G476"/>
      <c r="H476" s="20"/>
      <c r="I476"/>
      <c r="J476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s="9" customFormat="1" x14ac:dyDescent="0.3">
      <c r="A477"/>
      <c r="B477"/>
      <c r="C477"/>
      <c r="D477"/>
      <c r="E477"/>
      <c r="F477"/>
      <c r="G477"/>
      <c r="H477" s="20"/>
      <c r="I477"/>
      <c r="J477"/>
      <c r="S477" s="10"/>
      <c r="T477" s="10"/>
      <c r="U477" s="10"/>
      <c r="V477" s="10"/>
      <c r="W477" s="10"/>
      <c r="X477" s="10"/>
    </row>
    <row r="478" spans="1:24" s="10" customFormat="1" x14ac:dyDescent="0.3">
      <c r="A478"/>
      <c r="B478"/>
      <c r="C478"/>
      <c r="D478"/>
      <c r="E478"/>
      <c r="F478"/>
      <c r="G478"/>
      <c r="H478" s="20"/>
      <c r="I478"/>
      <c r="J478"/>
      <c r="K478" s="5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4" s="10" customFormat="1" x14ac:dyDescent="0.3">
      <c r="A479"/>
      <c r="B479"/>
      <c r="C479"/>
      <c r="D479"/>
      <c r="E479"/>
      <c r="F479"/>
      <c r="G479"/>
      <c r="H479" s="20"/>
      <c r="I479"/>
      <c r="J47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4" s="10" customFormat="1" x14ac:dyDescent="0.3">
      <c r="A480"/>
      <c r="B480"/>
      <c r="C480"/>
      <c r="D480"/>
      <c r="E480"/>
      <c r="F480"/>
      <c r="G480"/>
      <c r="H480" s="20"/>
      <c r="I480"/>
      <c r="J48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4" s="10" customFormat="1" x14ac:dyDescent="0.3">
      <c r="A481"/>
      <c r="B481"/>
      <c r="C481"/>
      <c r="D481"/>
      <c r="E481"/>
      <c r="F481"/>
      <c r="G481"/>
      <c r="H481" s="20"/>
      <c r="I481"/>
      <c r="J48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4" s="10" customFormat="1" ht="18" customHeight="1" x14ac:dyDescent="0.3">
      <c r="A482"/>
      <c r="B482"/>
      <c r="C482"/>
      <c r="D482"/>
      <c r="E482"/>
      <c r="F482"/>
      <c r="G482"/>
      <c r="H482" s="20"/>
      <c r="I482"/>
      <c r="J482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4" s="10" customFormat="1" x14ac:dyDescent="0.3">
      <c r="A483"/>
      <c r="B483"/>
      <c r="C483"/>
      <c r="D483"/>
      <c r="E483"/>
      <c r="F483"/>
      <c r="G483"/>
      <c r="H483" s="20"/>
      <c r="I483"/>
      <c r="J483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4" s="10" customFormat="1" x14ac:dyDescent="0.3">
      <c r="A484"/>
      <c r="B484"/>
      <c r="C484"/>
      <c r="D484"/>
      <c r="E484"/>
      <c r="F484"/>
      <c r="G484"/>
      <c r="H484" s="20"/>
      <c r="I484"/>
      <c r="J48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s="8" customFormat="1" x14ac:dyDescent="0.3">
      <c r="A485"/>
      <c r="B485"/>
      <c r="C485"/>
      <c r="D485"/>
      <c r="E485"/>
      <c r="F485"/>
      <c r="G485"/>
      <c r="H485" s="20"/>
      <c r="I485"/>
      <c r="J485"/>
    </row>
    <row r="486" spans="1:24" s="8" customFormat="1" x14ac:dyDescent="0.3">
      <c r="A486"/>
      <c r="B486"/>
      <c r="C486"/>
      <c r="D486"/>
      <c r="E486"/>
      <c r="F486"/>
      <c r="G486"/>
      <c r="H486" s="20"/>
      <c r="I486"/>
      <c r="J486"/>
    </row>
    <row r="487" spans="1:24" s="8" customFormat="1" x14ac:dyDescent="0.3">
      <c r="A487"/>
      <c r="B487"/>
      <c r="C487"/>
      <c r="D487"/>
      <c r="E487"/>
      <c r="F487"/>
      <c r="G487"/>
      <c r="H487" s="20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</row>
  </sheetData>
  <mergeCells count="17">
    <mergeCell ref="C226:D226"/>
    <mergeCell ref="C204:D204"/>
    <mergeCell ref="A1:H1"/>
    <mergeCell ref="C140:D140"/>
    <mergeCell ref="C32:D32"/>
    <mergeCell ref="C3:D3"/>
    <mergeCell ref="C192:D192"/>
    <mergeCell ref="C177:D177"/>
    <mergeCell ref="C172:D172"/>
    <mergeCell ref="C182:D182"/>
    <mergeCell ref="C167:D167"/>
    <mergeCell ref="C67:D67"/>
    <mergeCell ref="C33:D33"/>
    <mergeCell ref="C50:D50"/>
    <mergeCell ref="C114:D114"/>
    <mergeCell ref="C127:D127"/>
    <mergeCell ref="C153:D15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MOJJ MCC</vt:lpstr>
      <vt:lpstr>'MOJJ MCC'!Print_Area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2025-05-20T06:39:12Z</dcterms:modified>
</cp:coreProperties>
</file>