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24226"/>
  <xr:revisionPtr revIDLastSave="0" documentId="13_ncr:1_{0C971D26-E12C-4D93-8CD0-AF12FEEFFF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CC PANEL" sheetId="8" r:id="rId1"/>
  </sheets>
  <definedNames>
    <definedName name="_xlnm.Print_Area" localSheetId="0">'MCC PANEL'!$A$1:$H$125</definedName>
  </definedNames>
  <calcPr calcId="181029"/>
</workbook>
</file>

<file path=xl/calcChain.xml><?xml version="1.0" encoding="utf-8"?>
<calcChain xmlns="http://schemas.openxmlformats.org/spreadsheetml/2006/main">
  <c r="G96" i="8" l="1"/>
  <c r="G74" i="8" l="1"/>
  <c r="G62" i="8"/>
  <c r="G75" i="8"/>
  <c r="G76" i="8"/>
  <c r="G61" i="8"/>
  <c r="G58" i="8"/>
  <c r="G57" i="8"/>
  <c r="G124" i="8"/>
  <c r="G125" i="8"/>
  <c r="G122" i="8"/>
  <c r="G123" i="8"/>
  <c r="G120" i="8"/>
  <c r="G121" i="8"/>
  <c r="G118" i="8"/>
  <c r="G117" i="8"/>
  <c r="G49" i="8"/>
  <c r="G33" i="8"/>
  <c r="G32" i="8"/>
  <c r="G34" i="8"/>
  <c r="G29" i="8"/>
  <c r="G116" i="8"/>
  <c r="G111" i="8"/>
  <c r="G110" i="8"/>
  <c r="G106" i="8"/>
  <c r="G107" i="8"/>
  <c r="G108" i="8"/>
  <c r="G109" i="8"/>
  <c r="G105" i="8"/>
  <c r="G115" i="8"/>
  <c r="G114" i="8"/>
  <c r="G113" i="8"/>
  <c r="G112" i="8"/>
  <c r="G104" i="8"/>
  <c r="G103" i="8"/>
  <c r="G81" i="8"/>
  <c r="G80" i="8"/>
  <c r="G79" i="8"/>
  <c r="G78" i="8"/>
  <c r="G77" i="8"/>
  <c r="G73" i="8"/>
  <c r="G72" i="8"/>
  <c r="G71" i="8"/>
  <c r="G70" i="8"/>
  <c r="G68" i="8"/>
  <c r="G67" i="8"/>
  <c r="G66" i="8"/>
  <c r="G65" i="8"/>
  <c r="G64" i="8"/>
  <c r="G63" i="8"/>
  <c r="G60" i="8"/>
  <c r="G59" i="8"/>
  <c r="G56" i="8"/>
  <c r="G87" i="8"/>
  <c r="G101" i="8"/>
  <c r="G100" i="8"/>
  <c r="G90" i="8"/>
  <c r="G83" i="8"/>
  <c r="G84" i="8"/>
  <c r="G85" i="8"/>
  <c r="G86" i="8"/>
  <c r="G89" i="8"/>
  <c r="G48" i="8"/>
  <c r="G54" i="8"/>
  <c r="G53" i="8"/>
  <c r="G47" i="8"/>
  <c r="G99" i="8"/>
  <c r="G98" i="8"/>
  <c r="G97" i="8"/>
  <c r="G95" i="8"/>
  <c r="G94" i="8"/>
  <c r="G93" i="8"/>
  <c r="G92" i="8"/>
  <c r="G52" i="8"/>
  <c r="G46" i="8"/>
  <c r="G45" i="8"/>
  <c r="G44" i="8"/>
  <c r="G43" i="8"/>
  <c r="G42" i="8"/>
  <c r="G41" i="8"/>
  <c r="G40" i="8"/>
  <c r="G39" i="8"/>
  <c r="G38" i="8"/>
  <c r="G37" i="8"/>
  <c r="G36" i="8"/>
  <c r="G17" i="8"/>
  <c r="G16" i="8"/>
  <c r="G15" i="8"/>
  <c r="G31" i="8"/>
  <c r="G30" i="8"/>
  <c r="G28" i="8"/>
  <c r="G27" i="8"/>
  <c r="G26" i="8"/>
  <c r="G25" i="8"/>
  <c r="G24" i="8"/>
  <c r="G23" i="8"/>
  <c r="G22" i="8"/>
  <c r="G20" i="8"/>
  <c r="G19" i="8"/>
  <c r="G18" i="8"/>
  <c r="G14" i="8"/>
  <c r="G13" i="8"/>
  <c r="G12" i="8"/>
  <c r="G11" i="8"/>
  <c r="G10" i="8"/>
  <c r="G9" i="8"/>
  <c r="G8" i="8"/>
  <c r="G7" i="8"/>
  <c r="G6" i="8"/>
  <c r="G5" i="8"/>
  <c r="G4" i="8"/>
</calcChain>
</file>

<file path=xl/sharedStrings.xml><?xml version="1.0" encoding="utf-8"?>
<sst xmlns="http://schemas.openxmlformats.org/spreadsheetml/2006/main" count="477" uniqueCount="157">
  <si>
    <t>MAKE</t>
  </si>
  <si>
    <t>PART NO</t>
  </si>
  <si>
    <t>UOM</t>
  </si>
  <si>
    <t>Nos.</t>
  </si>
  <si>
    <t>Teknic</t>
  </si>
  <si>
    <t>Red Indication Lamp, 230VAC supply voltage</t>
  </si>
  <si>
    <t>ITEM
 QTY</t>
  </si>
  <si>
    <t>FDR
 QTY</t>
  </si>
  <si>
    <t>TOTAL
 QTY</t>
  </si>
  <si>
    <t>ITEM DESCRIPTIONS</t>
  </si>
  <si>
    <t>SR NO.</t>
  </si>
  <si>
    <t>Elmex</t>
  </si>
  <si>
    <t>Omron</t>
  </si>
  <si>
    <t>Salzer</t>
  </si>
  <si>
    <t>Ammeter Selecter Switch</t>
  </si>
  <si>
    <t>Voltmeter Selector Switch</t>
  </si>
  <si>
    <t>Sahara</t>
  </si>
  <si>
    <t>Oreva</t>
  </si>
  <si>
    <t>Rexnord</t>
  </si>
  <si>
    <t>Door Limit Switch</t>
  </si>
  <si>
    <t>Kaycee</t>
  </si>
  <si>
    <t>Selec</t>
  </si>
  <si>
    <t>16A, 2P, 10kA, C-Curve MCB</t>
  </si>
  <si>
    <t>Schneider</t>
  </si>
  <si>
    <t>Air Filter 6"</t>
  </si>
  <si>
    <t>6A, 4P, 10kA, C-Curve MCB</t>
  </si>
  <si>
    <t>6A, 3P, 10kA, C-Curve MCB</t>
  </si>
  <si>
    <t>Digital Voltmeter (0-500 Volt)</t>
  </si>
  <si>
    <t>A</t>
  </si>
  <si>
    <t>B</t>
  </si>
  <si>
    <t>C</t>
  </si>
  <si>
    <t>D</t>
  </si>
  <si>
    <t>E</t>
  </si>
  <si>
    <t>-</t>
  </si>
  <si>
    <t>Std</t>
  </si>
  <si>
    <t>3PLBR3L</t>
  </si>
  <si>
    <t>3PLBR5L</t>
  </si>
  <si>
    <t>Mtr.</t>
  </si>
  <si>
    <t>INCOMER &amp; METERING SECTION</t>
  </si>
  <si>
    <t>A9N4P06C</t>
  </si>
  <si>
    <t>A9N3P06C</t>
  </si>
  <si>
    <t>6A, 2P, 10kA, C-Curve MCB</t>
  </si>
  <si>
    <t>A9N2P06C</t>
  </si>
  <si>
    <t>A9N2P16C</t>
  </si>
  <si>
    <t>Emergency Stop Msh.Head (Red) with 1 NC Contact block</t>
  </si>
  <si>
    <t>LC1D09</t>
  </si>
  <si>
    <t>Add On Block 2NO+2NC</t>
  </si>
  <si>
    <t>LAEN22</t>
  </si>
  <si>
    <t>Fan 6"inch 230VAC with grill</t>
  </si>
  <si>
    <t>Tubelight 230VAC,5W</t>
  </si>
  <si>
    <t>NXBA11</t>
  </si>
  <si>
    <t>Auxillairy Contact Block</t>
  </si>
  <si>
    <t>Digital Ammeter (0-200 Amp)</t>
  </si>
  <si>
    <t>GVAE11</t>
  </si>
  <si>
    <t>GVAD1010</t>
  </si>
  <si>
    <t>MPCB Fault signalling contact + 1NO contact</t>
  </si>
  <si>
    <t>MPCB Front contact NO + NC</t>
  </si>
  <si>
    <t>MPCB 3P, 9-14 Amp</t>
  </si>
  <si>
    <t>LC1D25</t>
  </si>
  <si>
    <t>Yellow Indication Lamp, 230VAC supply voltage</t>
  </si>
  <si>
    <t>Blue Indication Lamp, 230VAC supply voltage</t>
  </si>
  <si>
    <t>LC1D18</t>
  </si>
  <si>
    <t>Rishabh</t>
  </si>
  <si>
    <t>Digital MFM with Comm.</t>
  </si>
  <si>
    <t>Autonics</t>
  </si>
  <si>
    <t>Customer Scope</t>
  </si>
  <si>
    <t xml:space="preserve">GV2P16 </t>
  </si>
  <si>
    <t>MCCB 200 AMP 50kA</t>
  </si>
  <si>
    <t>LV525452</t>
  </si>
  <si>
    <t>Door Operating Handle</t>
  </si>
  <si>
    <t>LV429338_IN</t>
  </si>
  <si>
    <t>10A, 2P, 10kA, C-Curve MCB</t>
  </si>
  <si>
    <t>A9N2P10C</t>
  </si>
  <si>
    <t>Green Indication Lamp, 110VAC supply voltage</t>
  </si>
  <si>
    <t>SFU 3P, 100A Amp</t>
  </si>
  <si>
    <t>NX100</t>
  </si>
  <si>
    <t>FUSE LINK 100A Amp</t>
  </si>
  <si>
    <t>NXR2</t>
  </si>
  <si>
    <t>Thyristor 100Amp</t>
  </si>
  <si>
    <t>Digital Ammeter (0-100 Amp)</t>
  </si>
  <si>
    <t>LC1E120</t>
  </si>
  <si>
    <r>
      <t>Handle operating mechanism</t>
    </r>
    <r>
      <rPr>
        <sz val="11"/>
        <color rgb="FFFF0000"/>
        <rFont val="Calibri"/>
        <family val="2"/>
        <scheme val="minor"/>
      </rPr>
      <t>(Order if inbuilt handle is not comes along with SFU)</t>
    </r>
  </si>
  <si>
    <t>Green Indication Lamp,110VAC supply voltage</t>
  </si>
  <si>
    <t>Red Indication Lamp,110VAC supply voltage</t>
  </si>
  <si>
    <t>Amber Indication Lamp, 110VAC supply voltage</t>
  </si>
  <si>
    <t>13.3 mm Uninyvin Cable</t>
  </si>
  <si>
    <t>4F,5F-RDOL  (0.75kW)</t>
  </si>
  <si>
    <t>6 Sq.mm Power Termnals R/Y/B Each</t>
  </si>
  <si>
    <t>35 Sq.mm Power Termnals R/Y/B Each</t>
  </si>
  <si>
    <t>2F-STAR-DELTA  (11kW)</t>
  </si>
  <si>
    <t>MCCB 3P, 50Amp</t>
  </si>
  <si>
    <t>LV510454</t>
  </si>
  <si>
    <t>Power Contactor 3P,120Amp with coil voltage 110VAC</t>
  </si>
  <si>
    <t>Control Relay With Base  2C/O 110VAC</t>
  </si>
  <si>
    <t>Control Relay With Base  4C/O 110VAC</t>
  </si>
  <si>
    <t>Power Contactor 3P,9Amp with coil voltage 110VAC</t>
  </si>
  <si>
    <t>Power Contactor 3P,25Amp with coil voltage 110VAC</t>
  </si>
  <si>
    <t>LC1D40A</t>
  </si>
  <si>
    <t>Power Contactor 3P,40Amp with coil voltage 110VAC(M+D)</t>
  </si>
  <si>
    <t>LC1D32</t>
  </si>
  <si>
    <t>LRD21</t>
  </si>
  <si>
    <t>Power Contactor 3P,32Amp with coil voltage 110VAC(S)</t>
  </si>
  <si>
    <t>10 Sq.mm Power Termnals R/Y/B Each</t>
  </si>
  <si>
    <t>3F-STAR-DELTA  (15kW)</t>
  </si>
  <si>
    <t>6F,7F,8F-DOL  (5kW)</t>
  </si>
  <si>
    <t>BURNER SECTION</t>
  </si>
  <si>
    <t>25A, 2P, 10kA, C-Curve MCB</t>
  </si>
  <si>
    <t>A9N2P25C</t>
  </si>
  <si>
    <t>A9N1P06C</t>
  </si>
  <si>
    <t>Sequence Controller</t>
  </si>
  <si>
    <t>Free Issue</t>
  </si>
  <si>
    <t>110VAC CONTROL SECTION</t>
  </si>
  <si>
    <t>Green ILPB for Start (Green) 110VAC Supply Voltage with NO Contact</t>
  </si>
  <si>
    <t>Red ILPB for Stop (Red) 110VAC Supply Voltage with NC Contact</t>
  </si>
  <si>
    <t>Auxillary Contactor 3P,18Amp 110VAC Supply Voltage</t>
  </si>
  <si>
    <t>4 Sq.mm Control Terminals (Red)</t>
  </si>
  <si>
    <t>4 Sq.mm Control Terminals (Black)</t>
  </si>
  <si>
    <t>2.5 Sq.mm Control Terminals (Grey)</t>
  </si>
  <si>
    <t>1F-THYRISTOR (100A)</t>
  </si>
  <si>
    <t>MPCB 3P, 25Amp</t>
  </si>
  <si>
    <t>GV2L22</t>
  </si>
  <si>
    <t>Power Contactor 3P,25Amp with coil voltage 110VAC(M+D)</t>
  </si>
  <si>
    <t>Power Contactor 3P,9Amp with coil voltage 110VAC(S)</t>
  </si>
  <si>
    <t>OLR 12-18Amp</t>
  </si>
  <si>
    <t>GV2P07</t>
  </si>
  <si>
    <t>MPCB 3P, 1.6-2.5 Amp</t>
  </si>
  <si>
    <t>Elletra</t>
  </si>
  <si>
    <t>Relay Board 8CH 1C/O 230VAC</t>
  </si>
  <si>
    <t>Relay Board 4CH 1C/O 230VAC</t>
  </si>
  <si>
    <t>PENDANT SECTION</t>
  </si>
  <si>
    <t>63A, 3P, 10kA, C-Curve MCB</t>
  </si>
  <si>
    <t>A9N3P63C</t>
  </si>
  <si>
    <t>32A, 3P, 10kA, C-Curve MCB</t>
  </si>
  <si>
    <t>A9N3P32C</t>
  </si>
  <si>
    <t>Start Push Button (Green) with NO Contact</t>
  </si>
  <si>
    <t>Stop Push Button (Red) with NC Contact</t>
  </si>
  <si>
    <t>63A 5-Pin Socket</t>
  </si>
  <si>
    <t>Elcom</t>
  </si>
  <si>
    <t>32A 5-Pin Socket</t>
  </si>
  <si>
    <t>PRG-2526-562-BOM (PRIME HEAT)</t>
  </si>
  <si>
    <t>Control Transformer 1.5 Kva 415/230</t>
  </si>
  <si>
    <t>GIC</t>
  </si>
  <si>
    <t>LADN22</t>
  </si>
  <si>
    <t xml:space="preserve"> LAD7B106</t>
  </si>
  <si>
    <t>Trip (Amber) Indication Lamp, 230VAC supply voltage</t>
  </si>
  <si>
    <t>Current Transformer 100/5A-Tapped Wound</t>
  </si>
  <si>
    <t>Asmita Electricals</t>
  </si>
  <si>
    <r>
      <t xml:space="preserve">Current Transformer 200/5A  </t>
    </r>
    <r>
      <rPr>
        <sz val="11"/>
        <color theme="1"/>
        <rFont val="Calibri"/>
        <family val="2"/>
        <scheme val="minor"/>
      </rPr>
      <t>(30MM ID)-Tapped Wound</t>
    </r>
  </si>
  <si>
    <t>MFM376-C-CE</t>
  </si>
  <si>
    <t>Star/Delta Timer 110VAC Supply Voltage</t>
  </si>
  <si>
    <t>Control Transformer 3 Kva 415/230/110VAC (Tapping Type)</t>
  </si>
  <si>
    <t>6A, 1P, 10kA, C-Curve MCB</t>
  </si>
  <si>
    <t>Add On Block 1NO+1NC</t>
  </si>
  <si>
    <t>LADN11</t>
  </si>
  <si>
    <t>Reset Push Button (Yellow) with NO Contact</t>
  </si>
  <si>
    <t>Two Position ILSW with NO Contact</t>
  </si>
  <si>
    <r>
      <t xml:space="preserve">OLR Mounting Kit - </t>
    </r>
    <r>
      <rPr>
        <sz val="11"/>
        <color rgb="FFFF0000"/>
        <rFont val="Calibri"/>
        <family val="2"/>
        <scheme val="minor"/>
      </rPr>
      <t xml:space="preserve">[After comparison of OLR price with </t>
    </r>
    <r>
      <rPr>
        <b/>
        <sz val="11"/>
        <color rgb="FFFF0000"/>
        <rFont val="Calibri"/>
        <family val="2"/>
        <scheme val="minor"/>
      </rPr>
      <t>(OLR-LRD318)</t>
    </r>
    <r>
      <rPr>
        <sz val="11"/>
        <color rgb="FFFF0000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</si>
</sst>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center"/>
    </xf>
    <xf numFmtId="0" fontId="9" fillId="4" borderId="0" xfId="0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3000000}"/>
  </cellStyles>
  <dxfs count="0"/>
  <tableStyles count="0" defaultTableStyle="TableStyleMedium2" defaultPivotStyle="PivotStyleMedium9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B4ED-5788-433D-BC62-76FD2891772C}">
  <dimension ref="A1:BI478"/>
  <sheetViews>
    <sheetView tabSelected="1" view="pageBreakPreview" topLeftCell="A4" zoomScale="115" zoomScaleNormal="100" zoomScaleSheetLayoutView="115" workbookViewId="0">
      <selection activeCell="C22" sqref="C22"/>
    </sheetView>
  </sheetViews>
  <sheetFormatPr defaultColWidth="8" defaultRowHeight="15" x14ac:dyDescent="0.25"/>
  <cols>
    <col min="1" max="1" width="6.85546875" style="1" bestFit="1" customWidth="1"/>
    <col min="2" max="2" width="66.7109375" style="2" bestFit="1" customWidth="1"/>
    <col min="3" max="3" width="16.5703125" style="3" bestFit="1" customWidth="1"/>
    <col min="4" max="4" width="20.42578125" style="1" bestFit="1" customWidth="1"/>
    <col min="5" max="5" width="5.42578125" style="1" bestFit="1" customWidth="1"/>
    <col min="6" max="6" width="5" style="1" bestFit="1" customWidth="1"/>
    <col min="7" max="7" width="6.5703125" style="1" bestFit="1" customWidth="1"/>
    <col min="8" max="8" width="5.7109375" style="1" bestFit="1" customWidth="1"/>
    <col min="9" max="9" width="8" style="2"/>
    <col min="10" max="10" width="10.85546875" style="6" bestFit="1" customWidth="1"/>
    <col min="11" max="16384" width="8" style="2"/>
  </cols>
  <sheetData>
    <row r="1" spans="1:61" ht="24.6" customHeight="1" x14ac:dyDescent="0.25">
      <c r="A1" s="37" t="s">
        <v>139</v>
      </c>
      <c r="B1" s="37"/>
      <c r="C1" s="37"/>
      <c r="D1" s="37"/>
      <c r="E1" s="37"/>
      <c r="F1" s="37"/>
      <c r="G1" s="37"/>
      <c r="H1" s="37"/>
      <c r="J1" s="2"/>
    </row>
    <row r="2" spans="1:61" s="4" customFormat="1" ht="30" x14ac:dyDescent="0.25">
      <c r="A2" s="7" t="s">
        <v>10</v>
      </c>
      <c r="B2" s="8" t="s">
        <v>9</v>
      </c>
      <c r="C2" s="8" t="s">
        <v>0</v>
      </c>
      <c r="D2" s="8" t="s">
        <v>1</v>
      </c>
      <c r="E2" s="8" t="s">
        <v>6</v>
      </c>
      <c r="F2" s="8" t="s">
        <v>7</v>
      </c>
      <c r="G2" s="8" t="s">
        <v>8</v>
      </c>
      <c r="H2" s="8" t="s">
        <v>2</v>
      </c>
    </row>
    <row r="3" spans="1:61" s="17" customFormat="1" ht="15.75" x14ac:dyDescent="0.25">
      <c r="A3" s="15"/>
      <c r="B3" s="15" t="s">
        <v>38</v>
      </c>
      <c r="C3" s="16"/>
      <c r="D3" s="16"/>
      <c r="E3" s="16"/>
      <c r="F3" s="15">
        <v>1</v>
      </c>
      <c r="G3" s="16"/>
      <c r="H3" s="16"/>
    </row>
    <row r="4" spans="1:61" s="5" customFormat="1" x14ac:dyDescent="0.25">
      <c r="A4" s="10">
        <v>1</v>
      </c>
      <c r="B4" s="12" t="s">
        <v>67</v>
      </c>
      <c r="C4" s="13" t="s">
        <v>23</v>
      </c>
      <c r="D4" s="14" t="s">
        <v>68</v>
      </c>
      <c r="E4" s="13">
        <v>1</v>
      </c>
      <c r="F4" s="13">
        <v>1</v>
      </c>
      <c r="G4" s="11">
        <f>E4*F4</f>
        <v>1</v>
      </c>
      <c r="H4" s="11" t="s">
        <v>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s="5" customFormat="1" x14ac:dyDescent="0.25">
      <c r="A5" s="10">
        <v>2</v>
      </c>
      <c r="B5" s="12" t="s">
        <v>69</v>
      </c>
      <c r="C5" s="13" t="s">
        <v>23</v>
      </c>
      <c r="D5" s="14" t="s">
        <v>70</v>
      </c>
      <c r="E5" s="13">
        <v>1</v>
      </c>
      <c r="F5" s="13">
        <v>1</v>
      </c>
      <c r="G5" s="11">
        <f>E5*F5</f>
        <v>1</v>
      </c>
      <c r="H5" s="11" t="s">
        <v>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s="4" customFormat="1" x14ac:dyDescent="0.25">
      <c r="A6" s="10">
        <v>3</v>
      </c>
      <c r="B6" s="12" t="s">
        <v>52</v>
      </c>
      <c r="C6" s="9" t="s">
        <v>62</v>
      </c>
      <c r="D6" s="9" t="s">
        <v>33</v>
      </c>
      <c r="E6" s="9">
        <v>1</v>
      </c>
      <c r="F6" s="13">
        <v>1</v>
      </c>
      <c r="G6" s="11">
        <f t="shared" ref="G6:G20" si="0">E6*F6</f>
        <v>1</v>
      </c>
      <c r="H6" s="11" t="s">
        <v>3</v>
      </c>
    </row>
    <row r="7" spans="1:61" s="4" customFormat="1" x14ac:dyDescent="0.25">
      <c r="A7" s="10">
        <v>4</v>
      </c>
      <c r="B7" s="12" t="s">
        <v>27</v>
      </c>
      <c r="C7" s="9" t="s">
        <v>62</v>
      </c>
      <c r="D7" s="9" t="s">
        <v>33</v>
      </c>
      <c r="E7" s="9">
        <v>1</v>
      </c>
      <c r="F7" s="13">
        <v>1</v>
      </c>
      <c r="G7" s="11">
        <f t="shared" si="0"/>
        <v>1</v>
      </c>
      <c r="H7" s="11" t="s">
        <v>3</v>
      </c>
    </row>
    <row r="8" spans="1:61" s="4" customFormat="1" x14ac:dyDescent="0.25">
      <c r="A8" s="10">
        <v>5</v>
      </c>
      <c r="B8" s="12" t="s">
        <v>14</v>
      </c>
      <c r="C8" s="9" t="s">
        <v>13</v>
      </c>
      <c r="D8" s="9" t="s">
        <v>33</v>
      </c>
      <c r="E8" s="9">
        <v>4</v>
      </c>
      <c r="F8" s="13">
        <v>1</v>
      </c>
      <c r="G8" s="11">
        <f t="shared" si="0"/>
        <v>4</v>
      </c>
      <c r="H8" s="11" t="s">
        <v>3</v>
      </c>
    </row>
    <row r="9" spans="1:61" s="4" customFormat="1" x14ac:dyDescent="0.25">
      <c r="A9" s="10">
        <v>6</v>
      </c>
      <c r="B9" s="12" t="s">
        <v>15</v>
      </c>
      <c r="C9" s="9" t="s">
        <v>13</v>
      </c>
      <c r="D9" s="9" t="s">
        <v>33</v>
      </c>
      <c r="E9" s="9">
        <v>1</v>
      </c>
      <c r="F9" s="13">
        <v>1</v>
      </c>
      <c r="G9" s="11">
        <f t="shared" si="0"/>
        <v>1</v>
      </c>
      <c r="H9" s="11" t="s">
        <v>3</v>
      </c>
    </row>
    <row r="10" spans="1:61" s="35" customFormat="1" x14ac:dyDescent="0.25">
      <c r="A10" s="31">
        <v>7</v>
      </c>
      <c r="B10" s="32" t="s">
        <v>63</v>
      </c>
      <c r="C10" s="33" t="s">
        <v>21</v>
      </c>
      <c r="D10" s="25" t="s">
        <v>148</v>
      </c>
      <c r="E10" s="33">
        <v>1</v>
      </c>
      <c r="F10" s="33">
        <v>1</v>
      </c>
      <c r="G10" s="34">
        <f t="shared" si="0"/>
        <v>1</v>
      </c>
      <c r="H10" s="34" t="s">
        <v>3</v>
      </c>
    </row>
    <row r="11" spans="1:61" s="4" customFormat="1" x14ac:dyDescent="0.25">
      <c r="A11" s="10">
        <v>8</v>
      </c>
      <c r="B11" s="12" t="s">
        <v>147</v>
      </c>
      <c r="C11" s="30" t="s">
        <v>146</v>
      </c>
      <c r="D11" s="9" t="s">
        <v>33</v>
      </c>
      <c r="E11" s="9">
        <v>3</v>
      </c>
      <c r="F11" s="13">
        <v>1</v>
      </c>
      <c r="G11" s="11">
        <f t="shared" si="0"/>
        <v>3</v>
      </c>
      <c r="H11" s="11" t="s">
        <v>3</v>
      </c>
    </row>
    <row r="12" spans="1:61" s="4" customFormat="1" x14ac:dyDescent="0.25">
      <c r="A12" s="10">
        <v>9</v>
      </c>
      <c r="B12" s="12" t="s">
        <v>25</v>
      </c>
      <c r="C12" s="13" t="s">
        <v>23</v>
      </c>
      <c r="D12" s="14" t="s">
        <v>39</v>
      </c>
      <c r="E12" s="9">
        <v>1</v>
      </c>
      <c r="F12" s="9">
        <v>1</v>
      </c>
      <c r="G12" s="11">
        <f t="shared" si="0"/>
        <v>1</v>
      </c>
      <c r="H12" s="11" t="s">
        <v>3</v>
      </c>
    </row>
    <row r="13" spans="1:61" s="4" customFormat="1" x14ac:dyDescent="0.25">
      <c r="A13" s="10">
        <v>10</v>
      </c>
      <c r="B13" s="12" t="s">
        <v>26</v>
      </c>
      <c r="C13" s="13" t="s">
        <v>23</v>
      </c>
      <c r="D13" s="14" t="s">
        <v>40</v>
      </c>
      <c r="E13" s="9">
        <v>1</v>
      </c>
      <c r="F13" s="9">
        <v>1</v>
      </c>
      <c r="G13" s="11">
        <f t="shared" si="0"/>
        <v>1</v>
      </c>
      <c r="H13" s="11" t="s">
        <v>3</v>
      </c>
    </row>
    <row r="14" spans="1:61" s="4" customFormat="1" x14ac:dyDescent="0.25">
      <c r="A14" s="10">
        <v>11</v>
      </c>
      <c r="B14" s="12" t="s">
        <v>41</v>
      </c>
      <c r="C14" s="13" t="s">
        <v>23</v>
      </c>
      <c r="D14" s="14" t="s">
        <v>42</v>
      </c>
      <c r="E14" s="9">
        <v>1</v>
      </c>
      <c r="F14" s="9">
        <v>1</v>
      </c>
      <c r="G14" s="11">
        <f t="shared" si="0"/>
        <v>1</v>
      </c>
      <c r="H14" s="11" t="s">
        <v>3</v>
      </c>
    </row>
    <row r="15" spans="1:61" s="5" customFormat="1" x14ac:dyDescent="0.25">
      <c r="A15" s="10">
        <v>12</v>
      </c>
      <c r="B15" s="12" t="s">
        <v>19</v>
      </c>
      <c r="C15" s="13" t="s">
        <v>20</v>
      </c>
      <c r="D15" s="9" t="s">
        <v>33</v>
      </c>
      <c r="E15" s="13">
        <v>1</v>
      </c>
      <c r="F15" s="13">
        <v>1</v>
      </c>
      <c r="G15" s="11">
        <f>E15*F15</f>
        <v>1</v>
      </c>
      <c r="H15" s="11" t="s">
        <v>3</v>
      </c>
      <c r="I15" s="4"/>
      <c r="J15" s="4"/>
      <c r="K15" s="4"/>
      <c r="L15" s="4"/>
      <c r="M15" s="4"/>
      <c r="N15" s="4"/>
      <c r="O15" s="4"/>
      <c r="P15" s="4"/>
    </row>
    <row r="16" spans="1:61" s="5" customFormat="1" x14ac:dyDescent="0.25">
      <c r="A16" s="10">
        <v>13</v>
      </c>
      <c r="B16" s="12" t="s">
        <v>49</v>
      </c>
      <c r="C16" s="13" t="s">
        <v>17</v>
      </c>
      <c r="D16" s="9" t="s">
        <v>33</v>
      </c>
      <c r="E16" s="13">
        <v>1</v>
      </c>
      <c r="F16" s="13">
        <v>1</v>
      </c>
      <c r="G16" s="11">
        <f>E16*F16</f>
        <v>1</v>
      </c>
      <c r="H16" s="11" t="s">
        <v>3</v>
      </c>
      <c r="I16" s="4"/>
      <c r="J16" s="4"/>
      <c r="K16" s="4"/>
      <c r="L16" s="4"/>
      <c r="M16" s="4"/>
      <c r="N16" s="4"/>
      <c r="O16" s="4"/>
      <c r="P16" s="4"/>
    </row>
    <row r="17" spans="1:16" s="5" customFormat="1" x14ac:dyDescent="0.25">
      <c r="A17" s="10">
        <v>14</v>
      </c>
      <c r="B17" s="12" t="s">
        <v>48</v>
      </c>
      <c r="C17" s="9" t="s">
        <v>18</v>
      </c>
      <c r="D17" s="9" t="s">
        <v>33</v>
      </c>
      <c r="E17" s="9">
        <v>1</v>
      </c>
      <c r="F17" s="13">
        <v>1</v>
      </c>
      <c r="G17" s="11">
        <f>E17*F17</f>
        <v>1</v>
      </c>
      <c r="H17" s="11" t="s">
        <v>3</v>
      </c>
      <c r="I17" s="4"/>
      <c r="J17" s="4"/>
      <c r="K17" s="4"/>
      <c r="L17" s="4"/>
      <c r="M17" s="4"/>
      <c r="N17" s="4"/>
      <c r="O17" s="4"/>
      <c r="P17" s="4"/>
    </row>
    <row r="18" spans="1:16" s="4" customFormat="1" x14ac:dyDescent="0.25">
      <c r="A18" s="10">
        <v>15</v>
      </c>
      <c r="B18" s="12" t="s">
        <v>5</v>
      </c>
      <c r="C18" s="13" t="s">
        <v>4</v>
      </c>
      <c r="D18" s="9" t="s">
        <v>33</v>
      </c>
      <c r="E18" s="9">
        <v>1</v>
      </c>
      <c r="F18" s="13">
        <v>1</v>
      </c>
      <c r="G18" s="11">
        <f t="shared" si="0"/>
        <v>1</v>
      </c>
      <c r="H18" s="11" t="s">
        <v>3</v>
      </c>
    </row>
    <row r="19" spans="1:16" s="4" customFormat="1" x14ac:dyDescent="0.25">
      <c r="A19" s="10">
        <v>16</v>
      </c>
      <c r="B19" s="12" t="s">
        <v>59</v>
      </c>
      <c r="C19" s="13" t="s">
        <v>4</v>
      </c>
      <c r="D19" s="9" t="s">
        <v>33</v>
      </c>
      <c r="E19" s="9">
        <v>1</v>
      </c>
      <c r="F19" s="13">
        <v>1</v>
      </c>
      <c r="G19" s="11">
        <f t="shared" si="0"/>
        <v>1</v>
      </c>
      <c r="H19" s="11" t="s">
        <v>3</v>
      </c>
    </row>
    <row r="20" spans="1:16" s="4" customFormat="1" x14ac:dyDescent="0.25">
      <c r="A20" s="10">
        <v>17</v>
      </c>
      <c r="B20" s="12" t="s">
        <v>60</v>
      </c>
      <c r="C20" s="13" t="s">
        <v>4</v>
      </c>
      <c r="D20" s="9" t="s">
        <v>33</v>
      </c>
      <c r="E20" s="9">
        <v>1</v>
      </c>
      <c r="F20" s="13">
        <v>1</v>
      </c>
      <c r="G20" s="11">
        <f t="shared" si="0"/>
        <v>1</v>
      </c>
      <c r="H20" s="11" t="s">
        <v>3</v>
      </c>
    </row>
    <row r="21" spans="1:16" s="17" customFormat="1" ht="15.75" x14ac:dyDescent="0.25">
      <c r="A21" s="20"/>
      <c r="B21" s="21" t="s">
        <v>111</v>
      </c>
      <c r="C21" s="22"/>
      <c r="D21" s="22"/>
      <c r="E21" s="22"/>
      <c r="F21" s="20">
        <v>1</v>
      </c>
      <c r="G21" s="22"/>
      <c r="H21" s="22"/>
    </row>
    <row r="22" spans="1:16" s="4" customFormat="1" x14ac:dyDescent="0.25">
      <c r="A22" s="10">
        <v>1</v>
      </c>
      <c r="B22" s="12" t="s">
        <v>150</v>
      </c>
      <c r="C22" s="13" t="s">
        <v>16</v>
      </c>
      <c r="D22" s="9" t="s">
        <v>33</v>
      </c>
      <c r="E22" s="13">
        <v>1</v>
      </c>
      <c r="F22" s="13">
        <v>1</v>
      </c>
      <c r="G22" s="11">
        <f>E22*F22</f>
        <v>1</v>
      </c>
      <c r="H22" s="11" t="s">
        <v>3</v>
      </c>
    </row>
    <row r="23" spans="1:16" s="4" customFormat="1" x14ac:dyDescent="0.25">
      <c r="A23" s="10">
        <v>2</v>
      </c>
      <c r="B23" s="12" t="s">
        <v>140</v>
      </c>
      <c r="C23" s="13" t="s">
        <v>16</v>
      </c>
      <c r="D23" s="9" t="s">
        <v>33</v>
      </c>
      <c r="E23" s="13">
        <v>1</v>
      </c>
      <c r="F23" s="13">
        <v>1</v>
      </c>
      <c r="G23" s="11">
        <f>E23*F23</f>
        <v>1</v>
      </c>
      <c r="H23" s="11" t="s">
        <v>3</v>
      </c>
    </row>
    <row r="24" spans="1:16" s="4" customFormat="1" x14ac:dyDescent="0.25">
      <c r="A24" s="10">
        <v>3</v>
      </c>
      <c r="B24" s="12" t="s">
        <v>22</v>
      </c>
      <c r="C24" s="13" t="s">
        <v>23</v>
      </c>
      <c r="D24" s="14" t="s">
        <v>43</v>
      </c>
      <c r="E24" s="9">
        <v>2</v>
      </c>
      <c r="F24" s="9">
        <v>1</v>
      </c>
      <c r="G24" s="11">
        <f t="shared" ref="G24:G31" si="1">E24*F24</f>
        <v>2</v>
      </c>
      <c r="H24" s="11" t="s">
        <v>3</v>
      </c>
    </row>
    <row r="25" spans="1:16" s="4" customFormat="1" x14ac:dyDescent="0.25">
      <c r="A25" s="10">
        <v>4</v>
      </c>
      <c r="B25" s="12" t="s">
        <v>71</v>
      </c>
      <c r="C25" s="13" t="s">
        <v>23</v>
      </c>
      <c r="D25" s="14" t="s">
        <v>72</v>
      </c>
      <c r="E25" s="9">
        <v>2</v>
      </c>
      <c r="F25" s="9">
        <v>1</v>
      </c>
      <c r="G25" s="11">
        <f t="shared" si="1"/>
        <v>2</v>
      </c>
      <c r="H25" s="11" t="s">
        <v>3</v>
      </c>
    </row>
    <row r="26" spans="1:16" s="4" customFormat="1" x14ac:dyDescent="0.25">
      <c r="A26" s="10">
        <v>5</v>
      </c>
      <c r="B26" s="12" t="s">
        <v>41</v>
      </c>
      <c r="C26" s="13" t="s">
        <v>23</v>
      </c>
      <c r="D26" s="14" t="s">
        <v>42</v>
      </c>
      <c r="E26" s="9">
        <v>3</v>
      </c>
      <c r="F26" s="9">
        <v>1</v>
      </c>
      <c r="G26" s="11">
        <f t="shared" si="1"/>
        <v>3</v>
      </c>
      <c r="H26" s="11" t="s">
        <v>3</v>
      </c>
    </row>
    <row r="27" spans="1:16" s="5" customFormat="1" x14ac:dyDescent="0.25">
      <c r="A27" s="10">
        <v>6</v>
      </c>
      <c r="B27" s="12" t="s">
        <v>112</v>
      </c>
      <c r="C27" s="13" t="s">
        <v>4</v>
      </c>
      <c r="D27" s="9" t="s">
        <v>33</v>
      </c>
      <c r="E27" s="13">
        <v>1</v>
      </c>
      <c r="F27" s="13">
        <v>1</v>
      </c>
      <c r="G27" s="11">
        <f t="shared" si="1"/>
        <v>1</v>
      </c>
      <c r="H27" s="11" t="s">
        <v>3</v>
      </c>
      <c r="I27" s="4"/>
      <c r="J27" s="4"/>
      <c r="K27" s="4"/>
      <c r="L27" s="4"/>
      <c r="M27" s="4"/>
      <c r="N27" s="4"/>
      <c r="O27" s="4"/>
      <c r="P27" s="4"/>
    </row>
    <row r="28" spans="1:16" s="5" customFormat="1" x14ac:dyDescent="0.25">
      <c r="A28" s="10">
        <v>7</v>
      </c>
      <c r="B28" s="12" t="s">
        <v>113</v>
      </c>
      <c r="C28" s="13" t="s">
        <v>4</v>
      </c>
      <c r="D28" s="9" t="s">
        <v>33</v>
      </c>
      <c r="E28" s="13">
        <v>1</v>
      </c>
      <c r="F28" s="13">
        <v>1</v>
      </c>
      <c r="G28" s="11">
        <f t="shared" si="1"/>
        <v>1</v>
      </c>
      <c r="H28" s="11" t="s">
        <v>3</v>
      </c>
      <c r="I28" s="4"/>
      <c r="J28" s="4"/>
      <c r="K28" s="4"/>
      <c r="L28" s="4"/>
      <c r="M28" s="4"/>
      <c r="N28" s="4"/>
      <c r="O28" s="4"/>
      <c r="P28" s="4"/>
    </row>
    <row r="29" spans="1:16" s="5" customFormat="1" x14ac:dyDescent="0.25">
      <c r="A29" s="10">
        <v>8</v>
      </c>
      <c r="B29" s="12" t="s">
        <v>44</v>
      </c>
      <c r="C29" s="13" t="s">
        <v>4</v>
      </c>
      <c r="D29" s="9" t="s">
        <v>33</v>
      </c>
      <c r="E29" s="13">
        <v>1</v>
      </c>
      <c r="F29" s="13">
        <v>1</v>
      </c>
      <c r="G29" s="11">
        <f>E29*F29</f>
        <v>1</v>
      </c>
      <c r="H29" s="11" t="s">
        <v>3</v>
      </c>
      <c r="I29" s="4"/>
      <c r="J29" s="4"/>
      <c r="K29" s="4"/>
      <c r="L29" s="4"/>
      <c r="M29" s="4"/>
      <c r="N29" s="4"/>
      <c r="O29" s="4"/>
      <c r="P29" s="4"/>
    </row>
    <row r="30" spans="1:16" s="5" customFormat="1" x14ac:dyDescent="0.25">
      <c r="A30" s="10">
        <v>9</v>
      </c>
      <c r="B30" s="12" t="s">
        <v>114</v>
      </c>
      <c r="C30" s="13" t="s">
        <v>23</v>
      </c>
      <c r="D30" s="9" t="s">
        <v>61</v>
      </c>
      <c r="E30" s="13">
        <v>1</v>
      </c>
      <c r="F30" s="13">
        <v>1</v>
      </c>
      <c r="G30" s="11">
        <f t="shared" si="1"/>
        <v>1</v>
      </c>
      <c r="H30" s="11" t="s">
        <v>3</v>
      </c>
      <c r="I30" s="4"/>
      <c r="J30" s="4"/>
      <c r="K30" s="4"/>
      <c r="L30" s="4"/>
      <c r="M30" s="4"/>
      <c r="N30" s="4"/>
      <c r="O30" s="4"/>
      <c r="P30" s="4"/>
    </row>
    <row r="31" spans="1:16" s="4" customFormat="1" x14ac:dyDescent="0.25">
      <c r="A31" s="10">
        <v>10</v>
      </c>
      <c r="B31" s="12" t="s">
        <v>73</v>
      </c>
      <c r="C31" s="13" t="s">
        <v>4</v>
      </c>
      <c r="D31" s="9" t="s">
        <v>33</v>
      </c>
      <c r="E31" s="9">
        <v>1</v>
      </c>
      <c r="F31" s="13">
        <v>1</v>
      </c>
      <c r="G31" s="11">
        <f t="shared" si="1"/>
        <v>1</v>
      </c>
      <c r="H31" s="11" t="s">
        <v>3</v>
      </c>
    </row>
    <row r="32" spans="1:16" s="18" customFormat="1" x14ac:dyDescent="0.25">
      <c r="A32" s="10">
        <v>11</v>
      </c>
      <c r="B32" s="12" t="s">
        <v>115</v>
      </c>
      <c r="C32" s="13" t="s">
        <v>11</v>
      </c>
      <c r="D32" s="13" t="s">
        <v>33</v>
      </c>
      <c r="E32" s="13">
        <v>25</v>
      </c>
      <c r="F32" s="13">
        <v>1</v>
      </c>
      <c r="G32" s="11">
        <f>E32*F32</f>
        <v>25</v>
      </c>
      <c r="H32" s="11" t="s">
        <v>3</v>
      </c>
    </row>
    <row r="33" spans="1:16" s="18" customFormat="1" x14ac:dyDescent="0.25">
      <c r="A33" s="10">
        <v>12</v>
      </c>
      <c r="B33" s="12" t="s">
        <v>116</v>
      </c>
      <c r="C33" s="13" t="s">
        <v>11</v>
      </c>
      <c r="D33" s="13" t="s">
        <v>33</v>
      </c>
      <c r="E33" s="13">
        <v>25</v>
      </c>
      <c r="F33" s="13">
        <v>1</v>
      </c>
      <c r="G33" s="11">
        <f>E33*F33</f>
        <v>25</v>
      </c>
      <c r="H33" s="11" t="s">
        <v>3</v>
      </c>
    </row>
    <row r="34" spans="1:16" s="18" customFormat="1" x14ac:dyDescent="0.25">
      <c r="A34" s="10">
        <v>13</v>
      </c>
      <c r="B34" s="12" t="s">
        <v>117</v>
      </c>
      <c r="C34" s="13" t="s">
        <v>11</v>
      </c>
      <c r="D34" s="13" t="s">
        <v>33</v>
      </c>
      <c r="E34" s="13">
        <v>2</v>
      </c>
      <c r="F34" s="13">
        <v>1</v>
      </c>
      <c r="G34" s="11">
        <f>E34*F34</f>
        <v>2</v>
      </c>
      <c r="H34" s="11" t="s">
        <v>3</v>
      </c>
    </row>
    <row r="35" spans="1:16" s="17" customFormat="1" ht="15.75" x14ac:dyDescent="0.25">
      <c r="A35" s="20" t="s">
        <v>28</v>
      </c>
      <c r="B35" s="21" t="s">
        <v>118</v>
      </c>
      <c r="C35" s="22"/>
      <c r="D35" s="22"/>
      <c r="E35" s="22"/>
      <c r="F35" s="20">
        <v>1</v>
      </c>
      <c r="G35" s="22"/>
      <c r="H35" s="22"/>
    </row>
    <row r="36" spans="1:16" s="5" customFormat="1" x14ac:dyDescent="0.25">
      <c r="A36" s="10">
        <v>1</v>
      </c>
      <c r="B36" s="12" t="s">
        <v>74</v>
      </c>
      <c r="C36" s="13" t="s">
        <v>23</v>
      </c>
      <c r="D36" s="9" t="s">
        <v>75</v>
      </c>
      <c r="E36" s="13">
        <v>1</v>
      </c>
      <c r="F36" s="13">
        <v>1</v>
      </c>
      <c r="G36" s="11">
        <f t="shared" ref="G36:G53" si="2">E36*F36</f>
        <v>1</v>
      </c>
      <c r="H36" s="11" t="s">
        <v>3</v>
      </c>
      <c r="I36" s="4"/>
      <c r="J36" s="4"/>
      <c r="K36" s="4"/>
      <c r="L36" s="4"/>
      <c r="M36" s="4"/>
      <c r="N36" s="4"/>
      <c r="O36" s="4"/>
      <c r="P36" s="4"/>
    </row>
    <row r="37" spans="1:16" s="5" customFormat="1" x14ac:dyDescent="0.25">
      <c r="A37" s="10">
        <v>2</v>
      </c>
      <c r="B37" s="12" t="s">
        <v>51</v>
      </c>
      <c r="C37" s="13" t="s">
        <v>23</v>
      </c>
      <c r="D37" s="9" t="s">
        <v>50</v>
      </c>
      <c r="E37" s="13">
        <v>1</v>
      </c>
      <c r="F37" s="13">
        <v>1</v>
      </c>
      <c r="G37" s="11">
        <f t="shared" si="2"/>
        <v>1</v>
      </c>
      <c r="H37" s="11" t="s">
        <v>3</v>
      </c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10">
        <v>3</v>
      </c>
      <c r="B38" s="12" t="s">
        <v>76</v>
      </c>
      <c r="C38" s="13" t="s">
        <v>23</v>
      </c>
      <c r="D38" s="9" t="s">
        <v>33</v>
      </c>
      <c r="E38" s="13">
        <v>3</v>
      </c>
      <c r="F38" s="13">
        <v>1</v>
      </c>
      <c r="G38" s="11">
        <f t="shared" si="2"/>
        <v>3</v>
      </c>
      <c r="H38" s="11" t="s">
        <v>3</v>
      </c>
      <c r="J38" s="2"/>
    </row>
    <row r="39" spans="1:16" ht="30" x14ac:dyDescent="0.25">
      <c r="A39" s="10">
        <v>4</v>
      </c>
      <c r="B39" s="12" t="s">
        <v>81</v>
      </c>
      <c r="C39" s="13" t="s">
        <v>23</v>
      </c>
      <c r="D39" s="9" t="s">
        <v>77</v>
      </c>
      <c r="E39" s="13">
        <v>1</v>
      </c>
      <c r="F39" s="13">
        <v>1</v>
      </c>
      <c r="G39" s="11">
        <f t="shared" si="2"/>
        <v>1</v>
      </c>
      <c r="H39" s="11" t="s">
        <v>3</v>
      </c>
      <c r="J39" s="2"/>
    </row>
    <row r="40" spans="1:16" s="5" customFormat="1" x14ac:dyDescent="0.25">
      <c r="A40" s="10">
        <v>5</v>
      </c>
      <c r="B40" s="12" t="s">
        <v>78</v>
      </c>
      <c r="C40" s="13" t="s">
        <v>64</v>
      </c>
      <c r="D40" s="19" t="s">
        <v>65</v>
      </c>
      <c r="E40" s="13">
        <v>1</v>
      </c>
      <c r="F40" s="13">
        <v>1</v>
      </c>
      <c r="G40" s="11">
        <f t="shared" si="2"/>
        <v>1</v>
      </c>
      <c r="H40" s="11" t="s">
        <v>3</v>
      </c>
      <c r="I40" s="4"/>
      <c r="J40" s="4"/>
      <c r="K40" s="4"/>
      <c r="L40" s="4"/>
      <c r="M40" s="4"/>
      <c r="N40" s="4"/>
      <c r="O40" s="4"/>
      <c r="P40" s="4"/>
    </row>
    <row r="41" spans="1:16" s="5" customFormat="1" x14ac:dyDescent="0.25">
      <c r="A41" s="10">
        <v>6</v>
      </c>
      <c r="B41" s="12" t="s">
        <v>92</v>
      </c>
      <c r="C41" s="13" t="s">
        <v>23</v>
      </c>
      <c r="D41" s="14" t="s">
        <v>80</v>
      </c>
      <c r="E41" s="13">
        <v>1</v>
      </c>
      <c r="F41" s="13">
        <v>1</v>
      </c>
      <c r="G41" s="11">
        <f t="shared" si="2"/>
        <v>1</v>
      </c>
      <c r="H41" s="11" t="s">
        <v>3</v>
      </c>
      <c r="I41" s="4"/>
      <c r="J41" s="4"/>
      <c r="K41" s="4"/>
      <c r="L41" s="4"/>
      <c r="M41" s="4"/>
      <c r="N41" s="4"/>
      <c r="O41" s="4"/>
      <c r="P41" s="4"/>
    </row>
    <row r="42" spans="1:16" s="5" customFormat="1" x14ac:dyDescent="0.25">
      <c r="A42" s="10">
        <v>7</v>
      </c>
      <c r="B42" s="12" t="s">
        <v>46</v>
      </c>
      <c r="C42" s="13" t="s">
        <v>23</v>
      </c>
      <c r="D42" s="9" t="s">
        <v>47</v>
      </c>
      <c r="E42" s="13">
        <v>1</v>
      </c>
      <c r="F42" s="13">
        <v>1</v>
      </c>
      <c r="G42" s="11">
        <f t="shared" si="2"/>
        <v>1</v>
      </c>
      <c r="H42" s="11" t="s">
        <v>3</v>
      </c>
      <c r="I42" s="4"/>
      <c r="J42" s="4"/>
      <c r="K42" s="4"/>
      <c r="L42" s="4"/>
      <c r="M42" s="4"/>
      <c r="N42" s="4"/>
      <c r="O42" s="4"/>
      <c r="P42" s="4"/>
    </row>
    <row r="43" spans="1:16" s="4" customFormat="1" x14ac:dyDescent="0.25">
      <c r="A43" s="10">
        <v>8</v>
      </c>
      <c r="B43" s="12" t="s">
        <v>79</v>
      </c>
      <c r="C43" s="9" t="s">
        <v>62</v>
      </c>
      <c r="D43" s="9" t="s">
        <v>33</v>
      </c>
      <c r="E43" s="9">
        <v>1</v>
      </c>
      <c r="F43" s="13">
        <v>1</v>
      </c>
      <c r="G43" s="11">
        <f t="shared" si="2"/>
        <v>1</v>
      </c>
      <c r="H43" s="11" t="s">
        <v>3</v>
      </c>
    </row>
    <row r="44" spans="1:16" s="4" customFormat="1" x14ac:dyDescent="0.25">
      <c r="A44" s="10">
        <v>9</v>
      </c>
      <c r="B44" s="12" t="s">
        <v>14</v>
      </c>
      <c r="C44" s="9" t="s">
        <v>13</v>
      </c>
      <c r="D44" s="9" t="s">
        <v>33</v>
      </c>
      <c r="E44" s="9">
        <v>1</v>
      </c>
      <c r="F44" s="13">
        <v>1</v>
      </c>
      <c r="G44" s="11">
        <f t="shared" si="2"/>
        <v>1</v>
      </c>
      <c r="H44" s="11" t="s">
        <v>3</v>
      </c>
    </row>
    <row r="45" spans="1:16" s="4" customFormat="1" x14ac:dyDescent="0.25">
      <c r="A45" s="10">
        <v>10</v>
      </c>
      <c r="B45" s="12" t="s">
        <v>145</v>
      </c>
      <c r="C45" s="30" t="s">
        <v>146</v>
      </c>
      <c r="D45" s="9" t="s">
        <v>33</v>
      </c>
      <c r="E45" s="9">
        <v>3</v>
      </c>
      <c r="F45" s="13">
        <v>1</v>
      </c>
      <c r="G45" s="11">
        <f t="shared" si="2"/>
        <v>3</v>
      </c>
      <c r="H45" s="11" t="s">
        <v>3</v>
      </c>
    </row>
    <row r="46" spans="1:16" s="4" customFormat="1" x14ac:dyDescent="0.25">
      <c r="A46" s="10">
        <v>11</v>
      </c>
      <c r="B46" s="12" t="s">
        <v>82</v>
      </c>
      <c r="C46" s="13" t="s">
        <v>4</v>
      </c>
      <c r="D46" s="9" t="s">
        <v>33</v>
      </c>
      <c r="E46" s="9">
        <v>2</v>
      </c>
      <c r="F46" s="13">
        <v>1</v>
      </c>
      <c r="G46" s="11">
        <f t="shared" si="2"/>
        <v>2</v>
      </c>
      <c r="H46" s="11" t="s">
        <v>3</v>
      </c>
    </row>
    <row r="47" spans="1:16" s="4" customFormat="1" x14ac:dyDescent="0.25">
      <c r="A47" s="10">
        <v>12</v>
      </c>
      <c r="B47" s="12" t="s">
        <v>83</v>
      </c>
      <c r="C47" s="13" t="s">
        <v>4</v>
      </c>
      <c r="D47" s="9" t="s">
        <v>33</v>
      </c>
      <c r="E47" s="9">
        <v>1</v>
      </c>
      <c r="F47" s="13">
        <v>1</v>
      </c>
      <c r="G47" s="11">
        <f t="shared" ref="G47:G48" si="3">E47*F47</f>
        <v>1</v>
      </c>
      <c r="H47" s="11" t="s">
        <v>3</v>
      </c>
    </row>
    <row r="48" spans="1:16" s="4" customFormat="1" x14ac:dyDescent="0.25">
      <c r="A48" s="10">
        <v>13</v>
      </c>
      <c r="B48" s="12" t="s">
        <v>84</v>
      </c>
      <c r="C48" s="13" t="s">
        <v>4</v>
      </c>
      <c r="D48" s="9" t="s">
        <v>33</v>
      </c>
      <c r="E48" s="9">
        <v>1</v>
      </c>
      <c r="F48" s="13">
        <v>1</v>
      </c>
      <c r="G48" s="11">
        <f t="shared" si="3"/>
        <v>1</v>
      </c>
      <c r="H48" s="11" t="s">
        <v>3</v>
      </c>
    </row>
    <row r="49" spans="1:34" s="5" customFormat="1" x14ac:dyDescent="0.25">
      <c r="A49" s="10">
        <v>14</v>
      </c>
      <c r="B49" s="12" t="s">
        <v>44</v>
      </c>
      <c r="C49" s="13" t="s">
        <v>4</v>
      </c>
      <c r="D49" s="9" t="s">
        <v>33</v>
      </c>
      <c r="E49" s="13">
        <v>1</v>
      </c>
      <c r="F49" s="13">
        <v>1</v>
      </c>
      <c r="G49" s="11">
        <f>E49*F49</f>
        <v>1</v>
      </c>
      <c r="H49" s="11" t="s">
        <v>3</v>
      </c>
      <c r="I49" s="4"/>
      <c r="J49" s="4"/>
      <c r="K49" s="4"/>
      <c r="L49" s="4"/>
      <c r="M49" s="4"/>
      <c r="N49" s="4"/>
      <c r="O49" s="4"/>
      <c r="P49" s="4"/>
    </row>
    <row r="50" spans="1:34" s="5" customFormat="1" x14ac:dyDescent="0.25">
      <c r="A50" s="10">
        <v>15</v>
      </c>
      <c r="B50" s="12" t="s">
        <v>93</v>
      </c>
      <c r="C50" s="13" t="s">
        <v>12</v>
      </c>
      <c r="D50" s="9" t="s">
        <v>33</v>
      </c>
      <c r="E50" s="9">
        <v>3</v>
      </c>
      <c r="F50" s="13">
        <v>1</v>
      </c>
      <c r="G50" s="11">
        <v>2</v>
      </c>
      <c r="H50" s="11" t="s">
        <v>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spans="1:34" s="5" customFormat="1" x14ac:dyDescent="0.25">
      <c r="A51" s="10">
        <v>16</v>
      </c>
      <c r="B51" s="12" t="s">
        <v>94</v>
      </c>
      <c r="C51" s="13" t="s">
        <v>12</v>
      </c>
      <c r="D51" s="9" t="s">
        <v>33</v>
      </c>
      <c r="E51" s="9">
        <v>1</v>
      </c>
      <c r="F51" s="13">
        <v>1</v>
      </c>
      <c r="G51" s="11">
        <v>3</v>
      </c>
      <c r="H51" s="11" t="s">
        <v>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s="5" customFormat="1" x14ac:dyDescent="0.25">
      <c r="A52" s="10">
        <v>17</v>
      </c>
      <c r="B52" s="12" t="s">
        <v>85</v>
      </c>
      <c r="C52" s="13" t="s">
        <v>34</v>
      </c>
      <c r="D52" s="9" t="s">
        <v>33</v>
      </c>
      <c r="E52" s="13">
        <v>20</v>
      </c>
      <c r="F52" s="13">
        <v>1</v>
      </c>
      <c r="G52" s="11">
        <f t="shared" si="2"/>
        <v>20</v>
      </c>
      <c r="H52" s="11" t="s">
        <v>37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spans="1:34" s="5" customFormat="1" x14ac:dyDescent="0.25">
      <c r="A53" s="10">
        <v>18</v>
      </c>
      <c r="B53" s="12" t="s">
        <v>88</v>
      </c>
      <c r="C53" s="13" t="s">
        <v>11</v>
      </c>
      <c r="D53" s="9" t="s">
        <v>33</v>
      </c>
      <c r="E53" s="13">
        <v>3</v>
      </c>
      <c r="F53" s="13">
        <v>1</v>
      </c>
      <c r="G53" s="11">
        <f t="shared" si="2"/>
        <v>3</v>
      </c>
      <c r="H53" s="11" t="s">
        <v>3</v>
      </c>
      <c r="I53" s="4"/>
      <c r="J53" s="4"/>
      <c r="K53" s="4"/>
      <c r="L53" s="4"/>
      <c r="M53" s="4"/>
      <c r="N53" s="4"/>
      <c r="O53" s="4"/>
      <c r="P53" s="4"/>
    </row>
    <row r="54" spans="1:34" s="5" customFormat="1" x14ac:dyDescent="0.25">
      <c r="A54" s="10">
        <v>19</v>
      </c>
      <c r="B54" s="12" t="s">
        <v>117</v>
      </c>
      <c r="C54" s="13" t="s">
        <v>11</v>
      </c>
      <c r="D54" s="9" t="s">
        <v>33</v>
      </c>
      <c r="E54" s="13">
        <v>10</v>
      </c>
      <c r="F54" s="13">
        <v>1</v>
      </c>
      <c r="G54" s="11">
        <f t="shared" ref="G54" si="4">E54*F54</f>
        <v>10</v>
      </c>
      <c r="H54" s="11" t="s">
        <v>3</v>
      </c>
      <c r="I54" s="4"/>
      <c r="J54" s="4"/>
      <c r="K54" s="4"/>
      <c r="L54" s="4"/>
      <c r="M54" s="4"/>
      <c r="N54" s="4"/>
      <c r="O54" s="4"/>
      <c r="P54" s="4"/>
    </row>
    <row r="55" spans="1:34" s="17" customFormat="1" ht="15.75" x14ac:dyDescent="0.25">
      <c r="A55" s="20" t="s">
        <v>29</v>
      </c>
      <c r="B55" s="21" t="s">
        <v>89</v>
      </c>
      <c r="C55" s="22"/>
      <c r="D55" s="22"/>
      <c r="E55" s="22"/>
      <c r="F55" s="20">
        <v>1</v>
      </c>
      <c r="G55" s="22"/>
      <c r="H55" s="22"/>
    </row>
    <row r="56" spans="1:34" s="5" customFormat="1" x14ac:dyDescent="0.25">
      <c r="A56" s="10">
        <v>1</v>
      </c>
      <c r="B56" s="12" t="s">
        <v>119</v>
      </c>
      <c r="C56" s="13" t="s">
        <v>23</v>
      </c>
      <c r="D56" s="9" t="s">
        <v>120</v>
      </c>
      <c r="E56" s="13">
        <v>1</v>
      </c>
      <c r="F56" s="13">
        <v>1</v>
      </c>
      <c r="G56" s="11">
        <f t="shared" ref="G56:G68" si="5">E56*F56</f>
        <v>1</v>
      </c>
      <c r="H56" s="11" t="s">
        <v>3</v>
      </c>
      <c r="I56" s="4"/>
      <c r="J56" s="4"/>
      <c r="K56" s="4"/>
      <c r="L56" s="4"/>
      <c r="M56" s="4"/>
      <c r="N56" s="4"/>
      <c r="O56" s="4"/>
      <c r="P56" s="4"/>
    </row>
    <row r="57" spans="1:34" x14ac:dyDescent="0.25">
      <c r="A57" s="10">
        <v>2</v>
      </c>
      <c r="B57" s="12" t="s">
        <v>56</v>
      </c>
      <c r="C57" s="13" t="s">
        <v>23</v>
      </c>
      <c r="D57" s="13" t="s">
        <v>53</v>
      </c>
      <c r="E57" s="13">
        <v>1</v>
      </c>
      <c r="F57" s="13">
        <v>1</v>
      </c>
      <c r="G57" s="11">
        <f t="shared" si="5"/>
        <v>1</v>
      </c>
      <c r="H57" s="11" t="s">
        <v>3</v>
      </c>
      <c r="J57" s="2"/>
    </row>
    <row r="58" spans="1:34" x14ac:dyDescent="0.25">
      <c r="A58" s="10">
        <v>3</v>
      </c>
      <c r="B58" s="12" t="s">
        <v>55</v>
      </c>
      <c r="C58" s="13" t="s">
        <v>23</v>
      </c>
      <c r="D58" s="13" t="s">
        <v>54</v>
      </c>
      <c r="E58" s="13">
        <v>1</v>
      </c>
      <c r="F58" s="13">
        <v>1</v>
      </c>
      <c r="G58" s="11">
        <f t="shared" si="5"/>
        <v>1</v>
      </c>
      <c r="H58" s="11" t="s">
        <v>3</v>
      </c>
      <c r="J58" s="2"/>
    </row>
    <row r="59" spans="1:34" s="5" customFormat="1" x14ac:dyDescent="0.25">
      <c r="A59" s="10">
        <v>4</v>
      </c>
      <c r="B59" s="12" t="s">
        <v>121</v>
      </c>
      <c r="C59" s="13" t="s">
        <v>23</v>
      </c>
      <c r="D59" s="14" t="s">
        <v>58</v>
      </c>
      <c r="E59" s="13">
        <v>2</v>
      </c>
      <c r="F59" s="13">
        <v>1</v>
      </c>
      <c r="G59" s="11">
        <f t="shared" si="5"/>
        <v>2</v>
      </c>
      <c r="H59" s="11" t="s">
        <v>3</v>
      </c>
      <c r="I59" s="4"/>
      <c r="J59" s="4"/>
      <c r="K59" s="4"/>
      <c r="L59" s="4"/>
      <c r="M59" s="4"/>
      <c r="N59" s="4"/>
      <c r="O59" s="4"/>
      <c r="P59" s="4"/>
    </row>
    <row r="60" spans="1:34" s="5" customFormat="1" x14ac:dyDescent="0.25">
      <c r="A60" s="10">
        <v>5</v>
      </c>
      <c r="B60" s="12" t="s">
        <v>122</v>
      </c>
      <c r="C60" s="13" t="s">
        <v>23</v>
      </c>
      <c r="D60" s="14" t="s">
        <v>45</v>
      </c>
      <c r="E60" s="13">
        <v>1</v>
      </c>
      <c r="F60" s="13">
        <v>1</v>
      </c>
      <c r="G60" s="11">
        <f t="shared" si="5"/>
        <v>1</v>
      </c>
      <c r="H60" s="11" t="s">
        <v>3</v>
      </c>
      <c r="I60" s="4"/>
      <c r="J60" s="4"/>
      <c r="K60" s="4"/>
      <c r="L60" s="4"/>
      <c r="M60" s="4"/>
      <c r="N60" s="4"/>
      <c r="O60" s="4"/>
      <c r="P60" s="4"/>
    </row>
    <row r="61" spans="1:34" s="5" customFormat="1" x14ac:dyDescent="0.25">
      <c r="A61" s="10">
        <v>6</v>
      </c>
      <c r="B61" s="12" t="s">
        <v>123</v>
      </c>
      <c r="C61" s="13" t="s">
        <v>23</v>
      </c>
      <c r="D61" s="14" t="s">
        <v>100</v>
      </c>
      <c r="E61" s="13">
        <v>1</v>
      </c>
      <c r="F61" s="13">
        <v>1</v>
      </c>
      <c r="G61" s="11">
        <f t="shared" ref="G61:G62" si="6">E61*F61</f>
        <v>1</v>
      </c>
      <c r="H61" s="11" t="s">
        <v>3</v>
      </c>
      <c r="I61" s="4"/>
      <c r="J61" s="4"/>
      <c r="K61" s="4"/>
      <c r="L61" s="4"/>
      <c r="M61" s="4"/>
      <c r="N61" s="4"/>
      <c r="O61" s="4"/>
      <c r="P61" s="4"/>
    </row>
    <row r="62" spans="1:34" s="5" customFormat="1" x14ac:dyDescent="0.25">
      <c r="A62" s="10">
        <v>7</v>
      </c>
      <c r="B62" s="12" t="s">
        <v>46</v>
      </c>
      <c r="C62" s="13" t="s">
        <v>23</v>
      </c>
      <c r="D62" s="14" t="s">
        <v>142</v>
      </c>
      <c r="E62" s="13">
        <v>1</v>
      </c>
      <c r="F62" s="13">
        <v>1</v>
      </c>
      <c r="G62" s="11">
        <f t="shared" si="6"/>
        <v>1</v>
      </c>
      <c r="H62" s="11" t="s">
        <v>3</v>
      </c>
      <c r="I62" s="4"/>
      <c r="J62" s="4"/>
      <c r="K62" s="4"/>
      <c r="L62" s="4"/>
      <c r="M62" s="4"/>
      <c r="N62" s="4"/>
      <c r="O62" s="4"/>
      <c r="P62" s="4"/>
    </row>
    <row r="63" spans="1:34" s="5" customFormat="1" x14ac:dyDescent="0.25">
      <c r="A63" s="10">
        <v>8</v>
      </c>
      <c r="B63" s="12" t="s">
        <v>149</v>
      </c>
      <c r="C63" s="13" t="s">
        <v>141</v>
      </c>
      <c r="D63" s="14" t="s">
        <v>33</v>
      </c>
      <c r="E63" s="13">
        <v>1</v>
      </c>
      <c r="F63" s="13">
        <v>1</v>
      </c>
      <c r="G63" s="11">
        <f t="shared" si="5"/>
        <v>1</v>
      </c>
      <c r="H63" s="11" t="s">
        <v>3</v>
      </c>
      <c r="I63" s="4"/>
      <c r="J63" s="4"/>
      <c r="K63" s="4"/>
      <c r="L63" s="4"/>
      <c r="M63" s="4"/>
      <c r="N63" s="4"/>
      <c r="O63" s="4"/>
      <c r="P63" s="4"/>
    </row>
    <row r="64" spans="1:34" s="4" customFormat="1" x14ac:dyDescent="0.25">
      <c r="A64" s="10">
        <v>9</v>
      </c>
      <c r="B64" s="12" t="s">
        <v>73</v>
      </c>
      <c r="C64" s="13" t="s">
        <v>4</v>
      </c>
      <c r="D64" s="9" t="s">
        <v>33</v>
      </c>
      <c r="E64" s="9">
        <v>1</v>
      </c>
      <c r="F64" s="13">
        <v>1</v>
      </c>
      <c r="G64" s="11">
        <f t="shared" si="5"/>
        <v>1</v>
      </c>
      <c r="H64" s="11" t="s">
        <v>3</v>
      </c>
    </row>
    <row r="65" spans="1:34" s="4" customFormat="1" x14ac:dyDescent="0.25">
      <c r="A65" s="10">
        <v>10</v>
      </c>
      <c r="B65" s="12" t="s">
        <v>84</v>
      </c>
      <c r="C65" s="13" t="s">
        <v>4</v>
      </c>
      <c r="D65" s="9" t="s">
        <v>33</v>
      </c>
      <c r="E65" s="9">
        <v>1</v>
      </c>
      <c r="F65" s="13">
        <v>1</v>
      </c>
      <c r="G65" s="11">
        <f t="shared" si="5"/>
        <v>1</v>
      </c>
      <c r="H65" s="11" t="s">
        <v>3</v>
      </c>
    </row>
    <row r="66" spans="1:34" s="5" customFormat="1" x14ac:dyDescent="0.25">
      <c r="A66" s="10">
        <v>11</v>
      </c>
      <c r="B66" s="12" t="s">
        <v>93</v>
      </c>
      <c r="C66" s="13" t="s">
        <v>12</v>
      </c>
      <c r="D66" s="9" t="s">
        <v>33</v>
      </c>
      <c r="E66" s="13">
        <v>1</v>
      </c>
      <c r="F66" s="13">
        <v>1</v>
      </c>
      <c r="G66" s="11">
        <f t="shared" si="5"/>
        <v>1</v>
      </c>
      <c r="H66" s="11" t="s">
        <v>3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spans="1:34" s="5" customFormat="1" x14ac:dyDescent="0.25">
      <c r="A67" s="10">
        <v>12</v>
      </c>
      <c r="B67" s="12" t="s">
        <v>102</v>
      </c>
      <c r="C67" s="13" t="s">
        <v>11</v>
      </c>
      <c r="D67" s="9" t="s">
        <v>33</v>
      </c>
      <c r="E67" s="13">
        <v>6</v>
      </c>
      <c r="F67" s="13">
        <v>1</v>
      </c>
      <c r="G67" s="11">
        <f t="shared" si="5"/>
        <v>6</v>
      </c>
      <c r="H67" s="11" t="s">
        <v>3</v>
      </c>
      <c r="I67" s="4"/>
      <c r="J67" s="4"/>
      <c r="K67" s="4"/>
      <c r="L67" s="4"/>
      <c r="M67" s="4"/>
      <c r="N67" s="4"/>
      <c r="O67" s="4"/>
      <c r="P67" s="4"/>
    </row>
    <row r="68" spans="1:34" s="5" customFormat="1" x14ac:dyDescent="0.25">
      <c r="A68" s="10">
        <v>13</v>
      </c>
      <c r="B68" s="12" t="s">
        <v>117</v>
      </c>
      <c r="C68" s="13" t="s">
        <v>11</v>
      </c>
      <c r="D68" s="9" t="s">
        <v>33</v>
      </c>
      <c r="E68" s="13">
        <v>4</v>
      </c>
      <c r="F68" s="13">
        <v>1</v>
      </c>
      <c r="G68" s="11">
        <f t="shared" si="5"/>
        <v>4</v>
      </c>
      <c r="H68" s="11" t="s">
        <v>3</v>
      </c>
      <c r="I68" s="4"/>
      <c r="J68" s="4"/>
      <c r="K68" s="4"/>
      <c r="L68" s="4"/>
      <c r="M68" s="4"/>
      <c r="N68" s="4"/>
      <c r="O68" s="4"/>
      <c r="P68" s="4"/>
    </row>
    <row r="69" spans="1:34" s="17" customFormat="1" ht="15.75" x14ac:dyDescent="0.25">
      <c r="A69" s="20" t="s">
        <v>30</v>
      </c>
      <c r="B69" s="21" t="s">
        <v>103</v>
      </c>
      <c r="C69" s="22"/>
      <c r="D69" s="22"/>
      <c r="E69" s="22"/>
      <c r="F69" s="20">
        <v>1</v>
      </c>
      <c r="G69" s="22"/>
      <c r="H69" s="22"/>
    </row>
    <row r="70" spans="1:34" s="5" customFormat="1" x14ac:dyDescent="0.25">
      <c r="A70" s="10">
        <v>1</v>
      </c>
      <c r="B70" s="12" t="s">
        <v>90</v>
      </c>
      <c r="C70" s="13" t="s">
        <v>23</v>
      </c>
      <c r="D70" s="9" t="s">
        <v>91</v>
      </c>
      <c r="E70" s="13">
        <v>1</v>
      </c>
      <c r="F70" s="13">
        <v>1</v>
      </c>
      <c r="G70" s="11">
        <f t="shared" ref="G70:G81" si="7">E70*F70</f>
        <v>1</v>
      </c>
      <c r="H70" s="11" t="s">
        <v>3</v>
      </c>
      <c r="I70" s="4"/>
      <c r="J70" s="4"/>
      <c r="K70" s="4"/>
      <c r="L70" s="4"/>
      <c r="M70" s="4"/>
      <c r="N70" s="4"/>
      <c r="O70" s="4"/>
      <c r="P70" s="4"/>
    </row>
    <row r="71" spans="1:34" s="5" customFormat="1" x14ac:dyDescent="0.25">
      <c r="A71" s="10">
        <v>2</v>
      </c>
      <c r="B71" s="12" t="s">
        <v>98</v>
      </c>
      <c r="C71" s="13" t="s">
        <v>23</v>
      </c>
      <c r="D71" s="14" t="s">
        <v>97</v>
      </c>
      <c r="E71" s="13">
        <v>2</v>
      </c>
      <c r="F71" s="13">
        <v>1</v>
      </c>
      <c r="G71" s="11">
        <f t="shared" si="7"/>
        <v>2</v>
      </c>
      <c r="H71" s="11" t="s">
        <v>3</v>
      </c>
      <c r="I71" s="4"/>
      <c r="J71" s="4"/>
      <c r="K71" s="4"/>
      <c r="L71" s="4"/>
      <c r="M71" s="4"/>
      <c r="N71" s="4"/>
      <c r="O71" s="4"/>
      <c r="P71" s="4"/>
    </row>
    <row r="72" spans="1:34" s="5" customFormat="1" x14ac:dyDescent="0.25">
      <c r="A72" s="10">
        <v>3</v>
      </c>
      <c r="B72" s="12" t="s">
        <v>101</v>
      </c>
      <c r="C72" s="13" t="s">
        <v>23</v>
      </c>
      <c r="D72" s="14" t="s">
        <v>99</v>
      </c>
      <c r="E72" s="13">
        <v>1</v>
      </c>
      <c r="F72" s="13">
        <v>1</v>
      </c>
      <c r="G72" s="11">
        <f t="shared" si="7"/>
        <v>1</v>
      </c>
      <c r="H72" s="11" t="s">
        <v>3</v>
      </c>
      <c r="I72" s="4"/>
      <c r="J72" s="4"/>
      <c r="K72" s="4"/>
      <c r="L72" s="4"/>
      <c r="M72" s="4"/>
      <c r="N72" s="4"/>
      <c r="O72" s="4"/>
      <c r="P72" s="4"/>
    </row>
    <row r="73" spans="1:34" s="29" customFormat="1" x14ac:dyDescent="0.25">
      <c r="A73" s="25">
        <v>4</v>
      </c>
      <c r="B73" s="26" t="s">
        <v>123</v>
      </c>
      <c r="C73" s="25" t="s">
        <v>23</v>
      </c>
      <c r="D73" s="27" t="s">
        <v>100</v>
      </c>
      <c r="E73" s="25">
        <v>1</v>
      </c>
      <c r="F73" s="25">
        <v>1</v>
      </c>
      <c r="G73" s="28">
        <f t="shared" si="7"/>
        <v>1</v>
      </c>
      <c r="H73" s="28" t="s">
        <v>3</v>
      </c>
    </row>
    <row r="74" spans="1:34" s="5" customFormat="1" x14ac:dyDescent="0.25">
      <c r="A74" s="10">
        <v>5</v>
      </c>
      <c r="B74" s="12" t="s">
        <v>156</v>
      </c>
      <c r="C74" s="13" t="s">
        <v>23</v>
      </c>
      <c r="D74" s="14" t="s">
        <v>143</v>
      </c>
      <c r="E74" s="13">
        <v>1</v>
      </c>
      <c r="F74" s="13">
        <v>1</v>
      </c>
      <c r="G74" s="11">
        <f t="shared" si="7"/>
        <v>1</v>
      </c>
      <c r="H74" s="11" t="s">
        <v>3</v>
      </c>
      <c r="I74" s="4"/>
      <c r="J74" s="4"/>
      <c r="K74" s="4"/>
      <c r="L74" s="4"/>
      <c r="M74" s="4"/>
      <c r="N74" s="4"/>
      <c r="O74" s="4"/>
      <c r="P74" s="4"/>
    </row>
    <row r="75" spans="1:34" s="5" customFormat="1" x14ac:dyDescent="0.25">
      <c r="A75" s="10">
        <v>6</v>
      </c>
      <c r="B75" s="12" t="s">
        <v>46</v>
      </c>
      <c r="C75" s="13" t="s">
        <v>23</v>
      </c>
      <c r="D75" s="14" t="s">
        <v>142</v>
      </c>
      <c r="E75" s="13">
        <v>1</v>
      </c>
      <c r="F75" s="13">
        <v>1</v>
      </c>
      <c r="G75" s="11">
        <f t="shared" ref="G75" si="8">E75*F75</f>
        <v>1</v>
      </c>
      <c r="H75" s="11" t="s">
        <v>3</v>
      </c>
      <c r="I75" s="4"/>
      <c r="J75" s="4"/>
      <c r="K75" s="4"/>
      <c r="L75" s="4"/>
      <c r="M75" s="4"/>
      <c r="N75" s="4"/>
      <c r="O75" s="4"/>
      <c r="P75" s="4"/>
    </row>
    <row r="76" spans="1:34" s="5" customFormat="1" x14ac:dyDescent="0.25">
      <c r="A76" s="10">
        <v>7</v>
      </c>
      <c r="B76" s="12" t="s">
        <v>149</v>
      </c>
      <c r="C76" s="13" t="s">
        <v>141</v>
      </c>
      <c r="D76" s="14" t="s">
        <v>33</v>
      </c>
      <c r="E76" s="13">
        <v>1</v>
      </c>
      <c r="F76" s="13">
        <v>1</v>
      </c>
      <c r="G76" s="11">
        <f t="shared" si="7"/>
        <v>1</v>
      </c>
      <c r="H76" s="11" t="s">
        <v>3</v>
      </c>
      <c r="I76" s="4"/>
      <c r="J76" s="4"/>
      <c r="K76" s="4"/>
      <c r="L76" s="4"/>
      <c r="M76" s="4"/>
      <c r="N76" s="4"/>
      <c r="O76" s="4"/>
      <c r="P76" s="4"/>
    </row>
    <row r="77" spans="1:34" s="4" customFormat="1" x14ac:dyDescent="0.25">
      <c r="A77" s="10">
        <v>8</v>
      </c>
      <c r="B77" s="12" t="s">
        <v>73</v>
      </c>
      <c r="C77" s="13" t="s">
        <v>4</v>
      </c>
      <c r="D77" s="9" t="s">
        <v>33</v>
      </c>
      <c r="E77" s="9">
        <v>1</v>
      </c>
      <c r="F77" s="13">
        <v>1</v>
      </c>
      <c r="G77" s="11">
        <f t="shared" si="7"/>
        <v>1</v>
      </c>
      <c r="H77" s="11" t="s">
        <v>3</v>
      </c>
    </row>
    <row r="78" spans="1:34" s="4" customFormat="1" x14ac:dyDescent="0.25">
      <c r="A78" s="10">
        <v>9</v>
      </c>
      <c r="B78" s="12" t="s">
        <v>84</v>
      </c>
      <c r="C78" s="13" t="s">
        <v>4</v>
      </c>
      <c r="D78" s="9" t="s">
        <v>33</v>
      </c>
      <c r="E78" s="9">
        <v>1</v>
      </c>
      <c r="F78" s="13">
        <v>1</v>
      </c>
      <c r="G78" s="11">
        <f t="shared" si="7"/>
        <v>1</v>
      </c>
      <c r="H78" s="11" t="s">
        <v>3</v>
      </c>
    </row>
    <row r="79" spans="1:34" s="5" customFormat="1" x14ac:dyDescent="0.25">
      <c r="A79" s="10">
        <v>10</v>
      </c>
      <c r="B79" s="12" t="s">
        <v>93</v>
      </c>
      <c r="C79" s="13" t="s">
        <v>12</v>
      </c>
      <c r="D79" s="9" t="s">
        <v>33</v>
      </c>
      <c r="E79" s="13">
        <v>1</v>
      </c>
      <c r="F79" s="13">
        <v>1</v>
      </c>
      <c r="G79" s="11">
        <f t="shared" si="7"/>
        <v>1</v>
      </c>
      <c r="H79" s="11" t="s">
        <v>3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spans="1:34" s="5" customFormat="1" x14ac:dyDescent="0.25">
      <c r="A80" s="10">
        <v>11</v>
      </c>
      <c r="B80" s="12" t="s">
        <v>102</v>
      </c>
      <c r="C80" s="13" t="s">
        <v>11</v>
      </c>
      <c r="D80" s="9" t="s">
        <v>33</v>
      </c>
      <c r="E80" s="13">
        <v>6</v>
      </c>
      <c r="F80" s="13">
        <v>1</v>
      </c>
      <c r="G80" s="11">
        <f t="shared" si="7"/>
        <v>6</v>
      </c>
      <c r="H80" s="11" t="s">
        <v>3</v>
      </c>
      <c r="I80" s="4"/>
      <c r="J80" s="4"/>
      <c r="K80" s="4"/>
      <c r="L80" s="4"/>
      <c r="M80" s="4"/>
      <c r="N80" s="4"/>
      <c r="O80" s="4"/>
      <c r="P80" s="4"/>
    </row>
    <row r="81" spans="1:34" s="5" customFormat="1" x14ac:dyDescent="0.25">
      <c r="A81" s="10">
        <v>12</v>
      </c>
      <c r="B81" s="12" t="s">
        <v>117</v>
      </c>
      <c r="C81" s="13" t="s">
        <v>11</v>
      </c>
      <c r="D81" s="9" t="s">
        <v>33</v>
      </c>
      <c r="E81" s="13">
        <v>4</v>
      </c>
      <c r="F81" s="13">
        <v>1</v>
      </c>
      <c r="G81" s="11">
        <f t="shared" si="7"/>
        <v>4</v>
      </c>
      <c r="H81" s="11" t="s">
        <v>3</v>
      </c>
      <c r="I81" s="4"/>
      <c r="J81" s="4"/>
      <c r="K81" s="4"/>
      <c r="L81" s="4"/>
      <c r="M81" s="4"/>
      <c r="N81" s="4"/>
      <c r="O81" s="4"/>
      <c r="P81" s="4"/>
    </row>
    <row r="82" spans="1:34" s="17" customFormat="1" ht="15.75" x14ac:dyDescent="0.25">
      <c r="A82" s="20" t="s">
        <v>31</v>
      </c>
      <c r="B82" s="21" t="s">
        <v>86</v>
      </c>
      <c r="C82" s="22"/>
      <c r="D82" s="22"/>
      <c r="E82" s="22"/>
      <c r="F82" s="20">
        <v>2</v>
      </c>
      <c r="G82" s="22"/>
      <c r="H82" s="22"/>
    </row>
    <row r="83" spans="1:34" s="5" customFormat="1" x14ac:dyDescent="0.25">
      <c r="A83" s="10">
        <v>1</v>
      </c>
      <c r="B83" s="12" t="s">
        <v>125</v>
      </c>
      <c r="C83" s="13" t="s">
        <v>23</v>
      </c>
      <c r="D83" s="9" t="s">
        <v>124</v>
      </c>
      <c r="E83" s="13">
        <v>1</v>
      </c>
      <c r="F83" s="13">
        <v>2</v>
      </c>
      <c r="G83" s="11">
        <f t="shared" ref="G83:G90" si="9">E83*F83</f>
        <v>2</v>
      </c>
      <c r="H83" s="11" t="s">
        <v>3</v>
      </c>
      <c r="I83" s="4"/>
      <c r="J83" s="4"/>
      <c r="K83" s="4"/>
      <c r="L83" s="4"/>
      <c r="M83" s="4"/>
      <c r="N83" s="4"/>
      <c r="O83" s="4"/>
      <c r="P83" s="4"/>
    </row>
    <row r="84" spans="1:34" x14ac:dyDescent="0.25">
      <c r="A84" s="10">
        <v>2</v>
      </c>
      <c r="B84" s="12" t="s">
        <v>56</v>
      </c>
      <c r="C84" s="13" t="s">
        <v>23</v>
      </c>
      <c r="D84" s="13" t="s">
        <v>53</v>
      </c>
      <c r="E84" s="13">
        <v>1</v>
      </c>
      <c r="F84" s="13">
        <v>2</v>
      </c>
      <c r="G84" s="11">
        <f t="shared" si="9"/>
        <v>2</v>
      </c>
      <c r="H84" s="11" t="s">
        <v>3</v>
      </c>
      <c r="J84" s="2"/>
    </row>
    <row r="85" spans="1:34" x14ac:dyDescent="0.25">
      <c r="A85" s="10">
        <v>3</v>
      </c>
      <c r="B85" s="12" t="s">
        <v>55</v>
      </c>
      <c r="C85" s="13" t="s">
        <v>23</v>
      </c>
      <c r="D85" s="13" t="s">
        <v>54</v>
      </c>
      <c r="E85" s="13">
        <v>1</v>
      </c>
      <c r="F85" s="13">
        <v>2</v>
      </c>
      <c r="G85" s="11">
        <f t="shared" si="9"/>
        <v>2</v>
      </c>
      <c r="H85" s="11" t="s">
        <v>3</v>
      </c>
      <c r="J85" s="2"/>
    </row>
    <row r="86" spans="1:34" s="5" customFormat="1" x14ac:dyDescent="0.25">
      <c r="A86" s="10">
        <v>4</v>
      </c>
      <c r="B86" s="12" t="s">
        <v>95</v>
      </c>
      <c r="C86" s="13" t="s">
        <v>23</v>
      </c>
      <c r="D86" s="14" t="s">
        <v>45</v>
      </c>
      <c r="E86" s="13">
        <v>2</v>
      </c>
      <c r="F86" s="13">
        <v>2</v>
      </c>
      <c r="G86" s="11">
        <f t="shared" si="9"/>
        <v>4</v>
      </c>
      <c r="H86" s="11" t="s">
        <v>3</v>
      </c>
      <c r="I86" s="4"/>
      <c r="J86" s="4"/>
      <c r="K86" s="4"/>
      <c r="L86" s="4"/>
      <c r="M86" s="4"/>
      <c r="N86" s="4"/>
      <c r="O86" s="4"/>
      <c r="P86" s="4"/>
    </row>
    <row r="87" spans="1:34" s="4" customFormat="1" x14ac:dyDescent="0.25">
      <c r="A87" s="10">
        <v>5</v>
      </c>
      <c r="B87" s="12" t="s">
        <v>84</v>
      </c>
      <c r="C87" s="13" t="s">
        <v>4</v>
      </c>
      <c r="D87" s="9" t="s">
        <v>33</v>
      </c>
      <c r="E87" s="9">
        <v>1</v>
      </c>
      <c r="F87" s="13">
        <v>2</v>
      </c>
      <c r="G87" s="11">
        <f t="shared" si="9"/>
        <v>2</v>
      </c>
      <c r="H87" s="11" t="s">
        <v>3</v>
      </c>
    </row>
    <row r="88" spans="1:34" s="5" customFormat="1" x14ac:dyDescent="0.25">
      <c r="A88" s="10">
        <v>6</v>
      </c>
      <c r="B88" s="12" t="s">
        <v>94</v>
      </c>
      <c r="C88" s="13" t="s">
        <v>12</v>
      </c>
      <c r="D88" s="9" t="s">
        <v>33</v>
      </c>
      <c r="E88" s="9">
        <v>1</v>
      </c>
      <c r="F88" s="13">
        <v>2</v>
      </c>
      <c r="G88" s="11">
        <v>3</v>
      </c>
      <c r="H88" s="11" t="s">
        <v>3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s="5" customFormat="1" x14ac:dyDescent="0.25">
      <c r="A89" s="10">
        <v>7</v>
      </c>
      <c r="B89" s="12" t="s">
        <v>87</v>
      </c>
      <c r="C89" s="13" t="s">
        <v>11</v>
      </c>
      <c r="D89" s="9" t="s">
        <v>33</v>
      </c>
      <c r="E89" s="13">
        <v>1</v>
      </c>
      <c r="F89" s="13">
        <v>2</v>
      </c>
      <c r="G89" s="11">
        <f t="shared" si="9"/>
        <v>2</v>
      </c>
      <c r="H89" s="11" t="s">
        <v>3</v>
      </c>
      <c r="I89" s="4"/>
      <c r="J89" s="4"/>
      <c r="K89" s="4"/>
      <c r="L89" s="4"/>
      <c r="M89" s="4"/>
      <c r="N89" s="4"/>
      <c r="O89" s="4"/>
      <c r="P89" s="4"/>
    </row>
    <row r="90" spans="1:34" s="5" customFormat="1" x14ac:dyDescent="0.25">
      <c r="A90" s="10">
        <v>8</v>
      </c>
      <c r="B90" s="12" t="s">
        <v>117</v>
      </c>
      <c r="C90" s="13" t="s">
        <v>11</v>
      </c>
      <c r="D90" s="9" t="s">
        <v>33</v>
      </c>
      <c r="E90" s="13">
        <v>6</v>
      </c>
      <c r="F90" s="13">
        <v>2</v>
      </c>
      <c r="G90" s="11">
        <f t="shared" si="9"/>
        <v>12</v>
      </c>
      <c r="H90" s="11" t="s">
        <v>3</v>
      </c>
      <c r="I90" s="4"/>
      <c r="J90" s="4"/>
      <c r="K90" s="4"/>
      <c r="L90" s="4"/>
      <c r="M90" s="4"/>
      <c r="N90" s="4"/>
      <c r="O90" s="4"/>
      <c r="P90" s="4"/>
    </row>
    <row r="91" spans="1:34" s="17" customFormat="1" ht="15.75" x14ac:dyDescent="0.25">
      <c r="A91" s="20" t="s">
        <v>32</v>
      </c>
      <c r="B91" s="21" t="s">
        <v>104</v>
      </c>
      <c r="C91" s="22"/>
      <c r="D91" s="22"/>
      <c r="E91" s="22"/>
      <c r="F91" s="20">
        <v>3</v>
      </c>
      <c r="G91" s="22"/>
      <c r="H91" s="22"/>
    </row>
    <row r="92" spans="1:34" s="5" customFormat="1" x14ac:dyDescent="0.25">
      <c r="A92" s="10">
        <v>1</v>
      </c>
      <c r="B92" s="12" t="s">
        <v>57</v>
      </c>
      <c r="C92" s="13" t="s">
        <v>23</v>
      </c>
      <c r="D92" s="13" t="s">
        <v>66</v>
      </c>
      <c r="E92" s="13">
        <v>1</v>
      </c>
      <c r="F92" s="13">
        <v>3</v>
      </c>
      <c r="G92" s="11">
        <f t="shared" ref="G92:G101" si="10">E92*F92</f>
        <v>3</v>
      </c>
      <c r="H92" s="11" t="s">
        <v>3</v>
      </c>
      <c r="I92" s="4"/>
      <c r="J92" s="4"/>
      <c r="K92" s="4"/>
      <c r="L92" s="4"/>
      <c r="M92" s="4"/>
      <c r="N92" s="4"/>
      <c r="O92" s="4"/>
      <c r="P92" s="4"/>
    </row>
    <row r="93" spans="1:34" x14ac:dyDescent="0.25">
      <c r="A93" s="10">
        <v>2</v>
      </c>
      <c r="B93" s="12" t="s">
        <v>56</v>
      </c>
      <c r="C93" s="13" t="s">
        <v>23</v>
      </c>
      <c r="D93" s="13" t="s">
        <v>53</v>
      </c>
      <c r="E93" s="13">
        <v>1</v>
      </c>
      <c r="F93" s="13">
        <v>3</v>
      </c>
      <c r="G93" s="11">
        <f t="shared" si="10"/>
        <v>3</v>
      </c>
      <c r="H93" s="11" t="s">
        <v>3</v>
      </c>
      <c r="J93" s="2"/>
    </row>
    <row r="94" spans="1:34" x14ac:dyDescent="0.25">
      <c r="A94" s="10">
        <v>3</v>
      </c>
      <c r="B94" s="12" t="s">
        <v>55</v>
      </c>
      <c r="C94" s="13" t="s">
        <v>23</v>
      </c>
      <c r="D94" s="13" t="s">
        <v>54</v>
      </c>
      <c r="E94" s="13">
        <v>1</v>
      </c>
      <c r="F94" s="13">
        <v>3</v>
      </c>
      <c r="G94" s="11">
        <f t="shared" si="10"/>
        <v>3</v>
      </c>
      <c r="H94" s="11" t="s">
        <v>3</v>
      </c>
      <c r="J94" s="2"/>
    </row>
    <row r="95" spans="1:34" s="5" customFormat="1" x14ac:dyDescent="0.25">
      <c r="A95" s="10">
        <v>4</v>
      </c>
      <c r="B95" s="12" t="s">
        <v>96</v>
      </c>
      <c r="C95" s="13" t="s">
        <v>23</v>
      </c>
      <c r="D95" s="14" t="s">
        <v>58</v>
      </c>
      <c r="E95" s="13">
        <v>1</v>
      </c>
      <c r="F95" s="13">
        <v>3</v>
      </c>
      <c r="G95" s="11">
        <f t="shared" si="10"/>
        <v>3</v>
      </c>
      <c r="H95" s="11" t="s">
        <v>3</v>
      </c>
      <c r="I95" s="4"/>
      <c r="J95" s="4"/>
      <c r="K95" s="4"/>
      <c r="L95" s="4"/>
      <c r="M95" s="4"/>
      <c r="N95" s="4"/>
      <c r="O95" s="4"/>
      <c r="P95" s="4"/>
    </row>
    <row r="96" spans="1:34" s="5" customFormat="1" x14ac:dyDescent="0.25">
      <c r="A96" s="10">
        <v>5</v>
      </c>
      <c r="B96" s="12" t="s">
        <v>152</v>
      </c>
      <c r="C96" s="13" t="s">
        <v>23</v>
      </c>
      <c r="D96" s="14" t="s">
        <v>153</v>
      </c>
      <c r="E96" s="13">
        <v>1</v>
      </c>
      <c r="F96" s="13">
        <v>3</v>
      </c>
      <c r="G96" s="11">
        <f t="shared" si="10"/>
        <v>3</v>
      </c>
      <c r="H96" s="11" t="s">
        <v>3</v>
      </c>
      <c r="I96" s="4"/>
      <c r="J96" s="4"/>
      <c r="K96" s="4"/>
      <c r="L96" s="4"/>
      <c r="M96" s="4"/>
      <c r="N96" s="4"/>
      <c r="O96" s="4"/>
      <c r="P96" s="4"/>
    </row>
    <row r="97" spans="1:34" s="4" customFormat="1" x14ac:dyDescent="0.25">
      <c r="A97" s="10">
        <v>6</v>
      </c>
      <c r="B97" s="12" t="s">
        <v>73</v>
      </c>
      <c r="C97" s="13" t="s">
        <v>4</v>
      </c>
      <c r="D97" s="9" t="s">
        <v>35</v>
      </c>
      <c r="E97" s="9">
        <v>1</v>
      </c>
      <c r="F97" s="13">
        <v>3</v>
      </c>
      <c r="G97" s="11">
        <f t="shared" si="10"/>
        <v>3</v>
      </c>
      <c r="H97" s="11" t="s">
        <v>3</v>
      </c>
    </row>
    <row r="98" spans="1:34" s="4" customFormat="1" x14ac:dyDescent="0.25">
      <c r="A98" s="10">
        <v>7</v>
      </c>
      <c r="B98" s="12" t="s">
        <v>84</v>
      </c>
      <c r="C98" s="13" t="s">
        <v>4</v>
      </c>
      <c r="D98" s="9" t="s">
        <v>36</v>
      </c>
      <c r="E98" s="9">
        <v>1</v>
      </c>
      <c r="F98" s="13">
        <v>3</v>
      </c>
      <c r="G98" s="11">
        <f t="shared" si="10"/>
        <v>3</v>
      </c>
      <c r="H98" s="11" t="s">
        <v>3</v>
      </c>
    </row>
    <row r="99" spans="1:34" s="5" customFormat="1" x14ac:dyDescent="0.25">
      <c r="A99" s="10">
        <v>8</v>
      </c>
      <c r="B99" s="12" t="s">
        <v>94</v>
      </c>
      <c r="C99" s="13" t="s">
        <v>12</v>
      </c>
      <c r="D99" s="9" t="s">
        <v>33</v>
      </c>
      <c r="E99" s="13">
        <v>1</v>
      </c>
      <c r="F99" s="13">
        <v>3</v>
      </c>
      <c r="G99" s="11">
        <f t="shared" si="10"/>
        <v>3</v>
      </c>
      <c r="H99" s="11" t="s">
        <v>3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spans="1:34" s="5" customFormat="1" x14ac:dyDescent="0.25">
      <c r="A100" s="10">
        <v>9</v>
      </c>
      <c r="B100" s="12" t="s">
        <v>87</v>
      </c>
      <c r="C100" s="13" t="s">
        <v>11</v>
      </c>
      <c r="D100" s="9" t="s">
        <v>33</v>
      </c>
      <c r="E100" s="13">
        <v>1</v>
      </c>
      <c r="F100" s="13">
        <v>3</v>
      </c>
      <c r="G100" s="11">
        <f t="shared" si="10"/>
        <v>3</v>
      </c>
      <c r="H100" s="11" t="s">
        <v>3</v>
      </c>
      <c r="I100" s="4"/>
      <c r="J100" s="4"/>
      <c r="K100" s="4"/>
      <c r="L100" s="4"/>
      <c r="M100" s="4"/>
      <c r="N100" s="4"/>
      <c r="O100" s="4"/>
      <c r="P100" s="4"/>
    </row>
    <row r="101" spans="1:34" s="5" customFormat="1" x14ac:dyDescent="0.25">
      <c r="A101" s="10">
        <v>10</v>
      </c>
      <c r="B101" s="12" t="s">
        <v>117</v>
      </c>
      <c r="C101" s="13" t="s">
        <v>11</v>
      </c>
      <c r="D101" s="9" t="s">
        <v>33</v>
      </c>
      <c r="E101" s="13">
        <v>4</v>
      </c>
      <c r="F101" s="13">
        <v>3</v>
      </c>
      <c r="G101" s="11">
        <f t="shared" si="10"/>
        <v>12</v>
      </c>
      <c r="H101" s="11" t="s">
        <v>3</v>
      </c>
      <c r="I101" s="4"/>
      <c r="J101" s="4"/>
      <c r="K101" s="4"/>
      <c r="L101" s="4"/>
      <c r="M101" s="4"/>
      <c r="N101" s="4"/>
      <c r="O101" s="4"/>
      <c r="P101" s="4"/>
    </row>
    <row r="102" spans="1:34" s="17" customFormat="1" ht="15.75" x14ac:dyDescent="0.25">
      <c r="A102" s="38" t="s">
        <v>105</v>
      </c>
      <c r="B102" s="39"/>
      <c r="C102" s="39"/>
      <c r="D102" s="39"/>
      <c r="E102" s="39"/>
      <c r="F102" s="39"/>
      <c r="G102" s="39"/>
      <c r="H102" s="40"/>
    </row>
    <row r="103" spans="1:34" s="4" customFormat="1" x14ac:dyDescent="0.25">
      <c r="A103" s="10">
        <v>1</v>
      </c>
      <c r="B103" s="12" t="s">
        <v>106</v>
      </c>
      <c r="C103" s="13" t="s">
        <v>23</v>
      </c>
      <c r="D103" s="23" t="s">
        <v>107</v>
      </c>
      <c r="E103" s="9">
        <v>1</v>
      </c>
      <c r="F103" s="9">
        <v>1</v>
      </c>
      <c r="G103" s="11">
        <f t="shared" ref="G103" si="11">E103*F103</f>
        <v>1</v>
      </c>
      <c r="H103" s="11" t="s">
        <v>3</v>
      </c>
    </row>
    <row r="104" spans="1:34" s="4" customFormat="1" x14ac:dyDescent="0.25">
      <c r="A104" s="10">
        <v>2</v>
      </c>
      <c r="B104" s="12" t="s">
        <v>41</v>
      </c>
      <c r="C104" s="13" t="s">
        <v>23</v>
      </c>
      <c r="D104" s="23" t="s">
        <v>42</v>
      </c>
      <c r="E104" s="9">
        <v>1</v>
      </c>
      <c r="F104" s="9">
        <v>1</v>
      </c>
      <c r="G104" s="11">
        <f t="shared" ref="G104" si="12">E104*F104</f>
        <v>1</v>
      </c>
      <c r="H104" s="11" t="s">
        <v>3</v>
      </c>
    </row>
    <row r="105" spans="1:34" s="4" customFormat="1" x14ac:dyDescent="0.25">
      <c r="A105" s="10">
        <v>3</v>
      </c>
      <c r="B105" s="12" t="s">
        <v>151</v>
      </c>
      <c r="C105" s="13" t="s">
        <v>23</v>
      </c>
      <c r="D105" s="23" t="s">
        <v>108</v>
      </c>
      <c r="E105" s="9">
        <v>9</v>
      </c>
      <c r="F105" s="9">
        <v>1</v>
      </c>
      <c r="G105" s="11">
        <f t="shared" ref="G105" si="13">E105*F105</f>
        <v>9</v>
      </c>
      <c r="H105" s="11" t="s">
        <v>3</v>
      </c>
    </row>
    <row r="106" spans="1:34" s="18" customFormat="1" x14ac:dyDescent="0.25">
      <c r="A106" s="10">
        <v>4</v>
      </c>
      <c r="B106" s="12" t="s">
        <v>155</v>
      </c>
      <c r="C106" s="13" t="s">
        <v>4</v>
      </c>
      <c r="D106" s="13" t="s">
        <v>33</v>
      </c>
      <c r="E106" s="9">
        <v>9</v>
      </c>
      <c r="F106" s="13">
        <v>1</v>
      </c>
      <c r="G106" s="11">
        <f t="shared" ref="G106:G116" si="14">E106*F106</f>
        <v>9</v>
      </c>
      <c r="H106" s="11" t="s">
        <v>3</v>
      </c>
    </row>
    <row r="107" spans="1:34" s="4" customFormat="1" x14ac:dyDescent="0.25">
      <c r="A107" s="10">
        <v>5</v>
      </c>
      <c r="B107" s="12" t="s">
        <v>144</v>
      </c>
      <c r="C107" s="13" t="s">
        <v>4</v>
      </c>
      <c r="D107" s="13" t="s">
        <v>33</v>
      </c>
      <c r="E107" s="9">
        <v>9</v>
      </c>
      <c r="F107" s="13">
        <v>1</v>
      </c>
      <c r="G107" s="11">
        <f t="shared" si="14"/>
        <v>9</v>
      </c>
      <c r="H107" s="11" t="s">
        <v>3</v>
      </c>
    </row>
    <row r="108" spans="1:34" s="4" customFormat="1" x14ac:dyDescent="0.25">
      <c r="A108" s="10">
        <v>6</v>
      </c>
      <c r="B108" s="12" t="s">
        <v>154</v>
      </c>
      <c r="C108" s="13" t="s">
        <v>4</v>
      </c>
      <c r="D108" s="13" t="s">
        <v>33</v>
      </c>
      <c r="E108" s="9">
        <v>9</v>
      </c>
      <c r="F108" s="13">
        <v>1</v>
      </c>
      <c r="G108" s="11">
        <f t="shared" si="14"/>
        <v>9</v>
      </c>
      <c r="H108" s="11" t="s">
        <v>3</v>
      </c>
    </row>
    <row r="109" spans="1:34" s="36" customFormat="1" x14ac:dyDescent="0.25">
      <c r="A109" s="31">
        <v>7</v>
      </c>
      <c r="B109" s="32" t="s">
        <v>109</v>
      </c>
      <c r="C109" s="24" t="s">
        <v>110</v>
      </c>
      <c r="D109" s="33" t="s">
        <v>33</v>
      </c>
      <c r="E109" s="33">
        <v>9</v>
      </c>
      <c r="F109" s="33">
        <v>1</v>
      </c>
      <c r="G109" s="34">
        <f t="shared" si="14"/>
        <v>9</v>
      </c>
      <c r="H109" s="34" t="s">
        <v>3</v>
      </c>
    </row>
    <row r="110" spans="1:34" x14ac:dyDescent="0.25">
      <c r="A110" s="10">
        <v>8</v>
      </c>
      <c r="B110" s="12" t="s">
        <v>127</v>
      </c>
      <c r="C110" s="13" t="s">
        <v>12</v>
      </c>
      <c r="D110" s="13" t="s">
        <v>33</v>
      </c>
      <c r="E110" s="13">
        <v>2</v>
      </c>
      <c r="F110" s="13">
        <v>1</v>
      </c>
      <c r="G110" s="11">
        <f t="shared" si="14"/>
        <v>2</v>
      </c>
      <c r="H110" s="11" t="s">
        <v>3</v>
      </c>
      <c r="J110" s="2"/>
    </row>
    <row r="111" spans="1:34" x14ac:dyDescent="0.25">
      <c r="A111" s="10">
        <v>9</v>
      </c>
      <c r="B111" s="12" t="s">
        <v>128</v>
      </c>
      <c r="C111" s="13" t="s">
        <v>12</v>
      </c>
      <c r="D111" s="13" t="s">
        <v>33</v>
      </c>
      <c r="E111" s="13">
        <v>1</v>
      </c>
      <c r="F111" s="13">
        <v>1</v>
      </c>
      <c r="G111" s="11">
        <f t="shared" si="14"/>
        <v>1</v>
      </c>
      <c r="H111" s="11" t="s">
        <v>3</v>
      </c>
      <c r="J111" s="2"/>
    </row>
    <row r="112" spans="1:34" s="5" customFormat="1" x14ac:dyDescent="0.25">
      <c r="A112" s="10">
        <v>10</v>
      </c>
      <c r="B112" s="12" t="s">
        <v>19</v>
      </c>
      <c r="C112" s="13" t="s">
        <v>20</v>
      </c>
      <c r="D112" s="13" t="s">
        <v>33</v>
      </c>
      <c r="E112" s="13">
        <v>1</v>
      </c>
      <c r="F112" s="13">
        <v>1</v>
      </c>
      <c r="G112" s="11">
        <f>E112*F112</f>
        <v>1</v>
      </c>
      <c r="H112" s="11" t="s">
        <v>3</v>
      </c>
      <c r="I112" s="4"/>
      <c r="J112" s="4"/>
      <c r="K112" s="4"/>
      <c r="L112" s="4"/>
      <c r="M112" s="4"/>
      <c r="N112" s="4"/>
      <c r="O112" s="4"/>
      <c r="P112" s="4"/>
    </row>
    <row r="113" spans="1:16" s="5" customFormat="1" x14ac:dyDescent="0.25">
      <c r="A113" s="10">
        <v>11</v>
      </c>
      <c r="B113" s="12" t="s">
        <v>49</v>
      </c>
      <c r="C113" s="13" t="s">
        <v>17</v>
      </c>
      <c r="D113" s="13" t="s">
        <v>33</v>
      </c>
      <c r="E113" s="13">
        <v>1</v>
      </c>
      <c r="F113" s="13">
        <v>1</v>
      </c>
      <c r="G113" s="11">
        <f>E113*F113</f>
        <v>1</v>
      </c>
      <c r="H113" s="11" t="s">
        <v>3</v>
      </c>
      <c r="I113" s="4"/>
      <c r="J113" s="4"/>
      <c r="K113" s="4"/>
      <c r="L113" s="4"/>
      <c r="M113" s="4"/>
      <c r="N113" s="4"/>
      <c r="O113" s="4"/>
      <c r="P113" s="4"/>
    </row>
    <row r="114" spans="1:16" s="5" customFormat="1" x14ac:dyDescent="0.25">
      <c r="A114" s="10">
        <v>12</v>
      </c>
      <c r="B114" s="12" t="s">
        <v>48</v>
      </c>
      <c r="C114" s="9" t="s">
        <v>126</v>
      </c>
      <c r="D114" s="13" t="s">
        <v>33</v>
      </c>
      <c r="E114" s="9">
        <v>2</v>
      </c>
      <c r="F114" s="13">
        <v>1</v>
      </c>
      <c r="G114" s="11">
        <f>E114*F114</f>
        <v>2</v>
      </c>
      <c r="H114" s="11" t="s">
        <v>3</v>
      </c>
      <c r="I114" s="4"/>
      <c r="J114" s="4"/>
      <c r="K114" s="4"/>
      <c r="L114" s="4"/>
      <c r="M114" s="4"/>
      <c r="N114" s="4"/>
      <c r="O114" s="4"/>
      <c r="P114" s="4"/>
    </row>
    <row r="115" spans="1:16" s="5" customFormat="1" x14ac:dyDescent="0.25">
      <c r="A115" s="10">
        <v>13</v>
      </c>
      <c r="B115" s="12" t="s">
        <v>24</v>
      </c>
      <c r="C115" s="9" t="s">
        <v>18</v>
      </c>
      <c r="D115" s="13" t="s">
        <v>33</v>
      </c>
      <c r="E115" s="9">
        <v>4</v>
      </c>
      <c r="F115" s="13">
        <v>1</v>
      </c>
      <c r="G115" s="11">
        <f>E115*F115</f>
        <v>4</v>
      </c>
      <c r="H115" s="11" t="s">
        <v>3</v>
      </c>
      <c r="I115" s="4"/>
      <c r="J115" s="4"/>
      <c r="K115" s="4"/>
      <c r="L115" s="4"/>
      <c r="M115" s="4"/>
      <c r="N115" s="4"/>
      <c r="O115" s="4"/>
      <c r="P115" s="4"/>
    </row>
    <row r="116" spans="1:16" x14ac:dyDescent="0.25">
      <c r="A116" s="10">
        <v>14</v>
      </c>
      <c r="B116" s="12" t="s">
        <v>117</v>
      </c>
      <c r="C116" s="13" t="s">
        <v>11</v>
      </c>
      <c r="D116" s="13" t="s">
        <v>33</v>
      </c>
      <c r="E116" s="13">
        <v>100</v>
      </c>
      <c r="F116" s="13">
        <v>1</v>
      </c>
      <c r="G116" s="11">
        <f t="shared" si="14"/>
        <v>100</v>
      </c>
      <c r="H116" s="11" t="s">
        <v>3</v>
      </c>
      <c r="J116" s="2"/>
    </row>
    <row r="117" spans="1:16" s="18" customFormat="1" x14ac:dyDescent="0.25">
      <c r="A117" s="10">
        <v>15</v>
      </c>
      <c r="B117" s="12" t="s">
        <v>115</v>
      </c>
      <c r="C117" s="13" t="s">
        <v>11</v>
      </c>
      <c r="D117" s="13" t="s">
        <v>33</v>
      </c>
      <c r="E117" s="13">
        <v>1</v>
      </c>
      <c r="F117" s="13">
        <v>1</v>
      </c>
      <c r="G117" s="11">
        <f>E117*F117</f>
        <v>1</v>
      </c>
      <c r="H117" s="11" t="s">
        <v>3</v>
      </c>
    </row>
    <row r="118" spans="1:16" s="18" customFormat="1" x14ac:dyDescent="0.25">
      <c r="A118" s="10">
        <v>16</v>
      </c>
      <c r="B118" s="12" t="s">
        <v>116</v>
      </c>
      <c r="C118" s="13" t="s">
        <v>11</v>
      </c>
      <c r="D118" s="13" t="s">
        <v>33</v>
      </c>
      <c r="E118" s="13">
        <v>1</v>
      </c>
      <c r="F118" s="13">
        <v>1</v>
      </c>
      <c r="G118" s="11">
        <f>E118*F118</f>
        <v>1</v>
      </c>
      <c r="H118" s="11" t="s">
        <v>3</v>
      </c>
    </row>
    <row r="119" spans="1:16" s="17" customFormat="1" ht="15.75" x14ac:dyDescent="0.25">
      <c r="A119" s="38" t="s">
        <v>129</v>
      </c>
      <c r="B119" s="39"/>
      <c r="C119" s="39"/>
      <c r="D119" s="39"/>
      <c r="E119" s="39"/>
      <c r="F119" s="39"/>
      <c r="G119" s="39"/>
      <c r="H119" s="40"/>
    </row>
    <row r="120" spans="1:16" s="4" customFormat="1" x14ac:dyDescent="0.25">
      <c r="A120" s="10">
        <v>1</v>
      </c>
      <c r="B120" s="12" t="s">
        <v>130</v>
      </c>
      <c r="C120" s="13" t="s">
        <v>23</v>
      </c>
      <c r="D120" s="23" t="s">
        <v>131</v>
      </c>
      <c r="E120" s="9">
        <v>2</v>
      </c>
      <c r="F120" s="9">
        <v>1</v>
      </c>
      <c r="G120" s="11">
        <f t="shared" ref="G120" si="15">E120*F120</f>
        <v>2</v>
      </c>
      <c r="H120" s="11" t="s">
        <v>3</v>
      </c>
    </row>
    <row r="121" spans="1:16" s="4" customFormat="1" x14ac:dyDescent="0.25">
      <c r="A121" s="10">
        <v>2</v>
      </c>
      <c r="B121" s="12" t="s">
        <v>132</v>
      </c>
      <c r="C121" s="13" t="s">
        <v>23</v>
      </c>
      <c r="D121" s="23" t="s">
        <v>133</v>
      </c>
      <c r="E121" s="9">
        <v>5</v>
      </c>
      <c r="F121" s="9">
        <v>1</v>
      </c>
      <c r="G121" s="11">
        <f t="shared" ref="G121:G124" si="16">E121*F121</f>
        <v>5</v>
      </c>
      <c r="H121" s="11" t="s">
        <v>3</v>
      </c>
    </row>
    <row r="122" spans="1:16" s="4" customFormat="1" x14ac:dyDescent="0.25">
      <c r="A122" s="10">
        <v>3</v>
      </c>
      <c r="B122" s="12" t="s">
        <v>134</v>
      </c>
      <c r="C122" s="13" t="s">
        <v>4</v>
      </c>
      <c r="D122" s="9" t="s">
        <v>33</v>
      </c>
      <c r="E122" s="9">
        <v>3</v>
      </c>
      <c r="F122" s="13">
        <v>1</v>
      </c>
      <c r="G122" s="11">
        <f t="shared" ref="G122" si="17">E122*F122</f>
        <v>3</v>
      </c>
      <c r="H122" s="11" t="s">
        <v>3</v>
      </c>
    </row>
    <row r="123" spans="1:16" s="4" customFormat="1" x14ac:dyDescent="0.25">
      <c r="A123" s="10">
        <v>4</v>
      </c>
      <c r="B123" s="12" t="s">
        <v>135</v>
      </c>
      <c r="C123" s="13" t="s">
        <v>4</v>
      </c>
      <c r="D123" s="9" t="s">
        <v>33</v>
      </c>
      <c r="E123" s="9">
        <v>3</v>
      </c>
      <c r="F123" s="13">
        <v>1</v>
      </c>
      <c r="G123" s="11">
        <f t="shared" si="16"/>
        <v>3</v>
      </c>
      <c r="H123" s="11" t="s">
        <v>3</v>
      </c>
    </row>
    <row r="124" spans="1:16" s="4" customFormat="1" x14ac:dyDescent="0.25">
      <c r="A124" s="10">
        <v>5</v>
      </c>
      <c r="B124" s="12" t="s">
        <v>136</v>
      </c>
      <c r="C124" s="13" t="s">
        <v>137</v>
      </c>
      <c r="D124" s="9">
        <v>6546</v>
      </c>
      <c r="E124" s="9">
        <v>2</v>
      </c>
      <c r="F124" s="13">
        <v>1</v>
      </c>
      <c r="G124" s="11">
        <f t="shared" si="16"/>
        <v>2</v>
      </c>
      <c r="H124" s="11" t="s">
        <v>3</v>
      </c>
    </row>
    <row r="125" spans="1:16" s="4" customFormat="1" x14ac:dyDescent="0.25">
      <c r="A125" s="10">
        <v>6</v>
      </c>
      <c r="B125" s="12" t="s">
        <v>138</v>
      </c>
      <c r="C125" s="13" t="s">
        <v>137</v>
      </c>
      <c r="D125" s="9">
        <v>3546</v>
      </c>
      <c r="E125" s="9">
        <v>5</v>
      </c>
      <c r="F125" s="13">
        <v>1</v>
      </c>
      <c r="G125" s="11">
        <f t="shared" ref="G125" si="18">E125*F125</f>
        <v>5</v>
      </c>
      <c r="H125" s="11" t="s">
        <v>3</v>
      </c>
    </row>
    <row r="126" spans="1:16" x14ac:dyDescent="0.25">
      <c r="A126" s="2"/>
      <c r="C126" s="2"/>
      <c r="D126" s="2"/>
      <c r="E126" s="2"/>
      <c r="F126" s="2"/>
      <c r="G126" s="2"/>
      <c r="H126" s="2"/>
      <c r="J126" s="2"/>
    </row>
    <row r="127" spans="1:16" x14ac:dyDescent="0.25">
      <c r="A127" s="2"/>
      <c r="C127" s="2"/>
      <c r="D127" s="2"/>
      <c r="E127" s="2"/>
      <c r="F127" s="2"/>
      <c r="G127" s="2"/>
      <c r="H127" s="2"/>
      <c r="J127" s="2"/>
    </row>
    <row r="128" spans="1:16" x14ac:dyDescent="0.25">
      <c r="A128" s="2"/>
      <c r="C128" s="2"/>
      <c r="D128" s="2"/>
      <c r="E128" s="2"/>
      <c r="F128" s="2"/>
      <c r="G128" s="2"/>
      <c r="H128" s="2"/>
      <c r="J128" s="2"/>
    </row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</sheetData>
  <mergeCells count="3">
    <mergeCell ref="A1:H1"/>
    <mergeCell ref="A102:H102"/>
    <mergeCell ref="A119:H119"/>
  </mergeCells>
  <pageMargins left="0.7" right="0.7" top="0.75" bottom="0.75" header="0.3" footer="0.3"/>
  <pageSetup scale="67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MCC PANEL</vt:lpstr>
      <vt:lpstr>'MCC PANEL'!Print_Area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2025-06-03T13:46:02Z</dcterms:modified>
</cp:coreProperties>
</file>